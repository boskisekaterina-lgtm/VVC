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ПК\test\"/>
    </mc:Choice>
  </mc:AlternateContent>
  <xr:revisionPtr revIDLastSave="0" documentId="8_{22717C66-4088-43E4-B31A-0C7A056AD986}" xr6:coauthVersionLast="47" xr6:coauthVersionMax="47" xr10:uidLastSave="{00000000-0000-0000-0000-000000000000}"/>
  <bookViews>
    <workbookView minimized="1" xWindow="3552" yWindow="3552" windowWidth="17280" windowHeight="9960" activeTab="5" xr2:uid="{00000000-000D-0000-FFFF-FFFF00000000}"/>
  </bookViews>
  <sheets>
    <sheet name="отчет" sheetId="10" r:id="rId1"/>
    <sheet name="Worksheet" sheetId="1" r:id="rId2"/>
    <sheet name="впр данные" sheetId="7" r:id="rId3"/>
    <sheet name="прогрессбар заданий " sheetId="11" r:id="rId4"/>
    <sheet name="пример раскрашивания" sheetId="13" r:id="rId5"/>
    <sheet name="задание" sheetId="14" r:id="rId6"/>
  </sheets>
  <definedNames>
    <definedName name="_xlnm._FilterDatabase" localSheetId="1" hidden="1">Worksheet!$A$1:$AD$247</definedName>
  </definedNames>
  <calcPr calcId="191029" forceFullCalc="1"/>
  <pivotCaches>
    <pivotCache cacheId="6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12" i="11" l="1"/>
  <c r="CC12" i="11"/>
  <c r="CD12" i="11"/>
  <c r="CE12" i="11"/>
  <c r="CF12" i="11"/>
  <c r="CG12" i="11"/>
  <c r="CH12" i="11"/>
  <c r="CI12" i="11"/>
  <c r="CJ12" i="11"/>
  <c r="CK12" i="11"/>
  <c r="CL12" i="11"/>
  <c r="CM12" i="11"/>
  <c r="CN12" i="11"/>
  <c r="CO12" i="11"/>
  <c r="CP12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CA12" i="11"/>
  <c r="CA9" i="11"/>
  <c r="CA10" i="11"/>
  <c r="CA11" i="11"/>
  <c r="BH12" i="11"/>
  <c r="BH10" i="11"/>
  <c r="BH9" i="11"/>
  <c r="BH11" i="11"/>
  <c r="I3" i="13"/>
  <c r="J3" i="13" s="1"/>
  <c r="D2" i="13"/>
  <c r="E2" i="13" s="1"/>
  <c r="D3" i="13"/>
  <c r="E3" i="13" s="1"/>
  <c r="D4" i="13"/>
  <c r="E4" i="13" s="1"/>
  <c r="D5" i="13"/>
  <c r="E5" i="13" s="1"/>
  <c r="D6" i="13"/>
  <c r="E6" i="13" s="1"/>
  <c r="I4" i="13"/>
  <c r="J4" i="13" s="1"/>
  <c r="I5" i="13"/>
  <c r="J5" i="13" s="1"/>
  <c r="I6" i="13"/>
  <c r="J6" i="13" s="1"/>
  <c r="I2" i="13"/>
  <c r="J2" i="13" s="1"/>
  <c r="K2" i="13" s="1"/>
  <c r="CB13" i="11"/>
  <c r="CC13" i="11"/>
  <c r="CD13" i="11"/>
  <c r="CE13" i="11"/>
  <c r="CF13" i="11"/>
  <c r="CG13" i="11"/>
  <c r="CH13" i="11"/>
  <c r="CI13" i="11"/>
  <c r="CJ13" i="11"/>
  <c r="CK13" i="11"/>
  <c r="CL13" i="11"/>
  <c r="CM13" i="11"/>
  <c r="CN13" i="11"/>
  <c r="CO13" i="11"/>
  <c r="CP13" i="11"/>
  <c r="CB14" i="11"/>
  <c r="CC14" i="11"/>
  <c r="CD14" i="11"/>
  <c r="CE14" i="11"/>
  <c r="CF14" i="11"/>
  <c r="CG14" i="11"/>
  <c r="CH14" i="11"/>
  <c r="CI14" i="11"/>
  <c r="CJ14" i="11"/>
  <c r="CK14" i="11"/>
  <c r="CL14" i="11"/>
  <c r="CM14" i="11"/>
  <c r="CN14" i="11"/>
  <c r="CO14" i="11"/>
  <c r="CP14" i="11"/>
  <c r="CB15" i="11"/>
  <c r="CC15" i="11"/>
  <c r="CD15" i="11"/>
  <c r="CE15" i="11"/>
  <c r="CF15" i="11"/>
  <c r="CG15" i="11"/>
  <c r="CH15" i="11"/>
  <c r="CI15" i="11"/>
  <c r="CJ15" i="11"/>
  <c r="CK15" i="11"/>
  <c r="CL15" i="11"/>
  <c r="CM15" i="11"/>
  <c r="CN15" i="11"/>
  <c r="CO15" i="11"/>
  <c r="CP15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A14" i="11"/>
  <c r="CA15" i="11"/>
  <c r="CA16" i="11"/>
  <c r="CA17" i="11"/>
  <c r="CA13" i="11"/>
  <c r="CB7" i="11"/>
  <c r="CC7" i="11"/>
  <c r="CD7" i="11"/>
  <c r="CE7" i="11"/>
  <c r="CF7" i="11"/>
  <c r="CG7" i="11"/>
  <c r="CH7" i="11"/>
  <c r="CI7" i="11"/>
  <c r="CJ7" i="11"/>
  <c r="CK7" i="11"/>
  <c r="CL7" i="11"/>
  <c r="CM7" i="11"/>
  <c r="CN7" i="11"/>
  <c r="CO7" i="11"/>
  <c r="CP7" i="11"/>
  <c r="CB8" i="11"/>
  <c r="CC8" i="11"/>
  <c r="CD8" i="11"/>
  <c r="CE8" i="11"/>
  <c r="CF8" i="11"/>
  <c r="CG8" i="11"/>
  <c r="CH8" i="11"/>
  <c r="CI8" i="11"/>
  <c r="CJ8" i="11"/>
  <c r="CK8" i="11"/>
  <c r="CL8" i="11"/>
  <c r="CM8" i="11"/>
  <c r="CN8" i="11"/>
  <c r="CO8" i="11"/>
  <c r="CP8" i="11"/>
  <c r="CB10" i="11"/>
  <c r="CC10" i="11"/>
  <c r="CD10" i="11"/>
  <c r="CE10" i="11"/>
  <c r="CF10" i="11"/>
  <c r="CG10" i="11"/>
  <c r="CH10" i="11"/>
  <c r="CI10" i="11"/>
  <c r="CJ10" i="11"/>
  <c r="CK10" i="11"/>
  <c r="CL10" i="11"/>
  <c r="CM10" i="11"/>
  <c r="CN10" i="11"/>
  <c r="CO10" i="11"/>
  <c r="CP10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A8" i="11"/>
  <c r="CA7" i="11"/>
  <c r="BH14" i="11"/>
  <c r="BH15" i="11"/>
  <c r="BH16" i="11"/>
  <c r="BH17" i="11"/>
  <c r="BH13" i="11"/>
  <c r="BH8" i="11"/>
  <c r="BH7" i="11"/>
  <c r="R8" i="11"/>
  <c r="R10" i="11" s="1"/>
  <c r="D8" i="11"/>
  <c r="E8" i="11"/>
  <c r="F8" i="11"/>
  <c r="G8" i="11"/>
  <c r="Z3" i="11" s="1"/>
  <c r="H8" i="11"/>
  <c r="I8" i="11"/>
  <c r="J8" i="11"/>
  <c r="K8" i="11"/>
  <c r="AD3" i="11" s="1"/>
  <c r="L8" i="11"/>
  <c r="M8" i="11"/>
  <c r="N8" i="11"/>
  <c r="O8" i="11"/>
  <c r="P8" i="11"/>
  <c r="Q8" i="11"/>
  <c r="C8" i="11"/>
  <c r="N7" i="10"/>
  <c r="D7" i="10"/>
  <c r="D20" i="10"/>
  <c r="D5" i="10"/>
  <c r="D19" i="10"/>
  <c r="D21" i="10"/>
  <c r="D18" i="10"/>
  <c r="L7" i="10"/>
  <c r="D22" i="10"/>
  <c r="D23" i="10"/>
  <c r="K7" i="10"/>
  <c r="D6" i="10"/>
  <c r="D17" i="10"/>
  <c r="M7" i="10"/>
  <c r="K3" i="13" l="1"/>
  <c r="K4" i="13"/>
  <c r="K5" i="13"/>
  <c r="K6" i="13"/>
  <c r="O10" i="11"/>
  <c r="AJ4" i="11"/>
  <c r="AF4" i="11"/>
  <c r="AB4" i="11"/>
  <c r="X4" i="11"/>
  <c r="AI3" i="11"/>
  <c r="AE3" i="11"/>
  <c r="AA3" i="11"/>
  <c r="W3" i="11"/>
  <c r="AK4" i="11"/>
  <c r="AG4" i="11"/>
  <c r="AC4" i="11"/>
  <c r="Y4" i="11"/>
  <c r="AJ3" i="11"/>
  <c r="AF3" i="11"/>
  <c r="AB3" i="11"/>
  <c r="X3" i="11"/>
  <c r="AH4" i="11"/>
  <c r="AD4" i="11"/>
  <c r="Z4" i="11"/>
  <c r="AK3" i="11"/>
  <c r="AG3" i="11"/>
  <c r="AC3" i="11"/>
  <c r="Y3" i="11"/>
  <c r="AI4" i="11"/>
  <c r="AE4" i="11"/>
  <c r="AA4" i="11"/>
  <c r="W4" i="11"/>
  <c r="AH3" i="11"/>
  <c r="V4" i="11"/>
  <c r="V3" i="11"/>
  <c r="K10" i="11"/>
  <c r="G10" i="11"/>
  <c r="D10" i="11"/>
  <c r="P10" i="11"/>
  <c r="H10" i="11"/>
  <c r="Q10" i="11"/>
  <c r="M10" i="11"/>
  <c r="I10" i="11"/>
  <c r="E10" i="11"/>
  <c r="L10" i="11"/>
  <c r="C10" i="11"/>
  <c r="N10" i="11"/>
  <c r="J10" i="11"/>
  <c r="F10" i="11"/>
  <c r="AC3" i="1"/>
  <c r="AD3" i="1"/>
  <c r="AC4" i="1"/>
  <c r="AD4" i="1"/>
  <c r="AC5" i="1"/>
  <c r="AD5" i="1"/>
  <c r="AC6" i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C159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D170" i="1"/>
  <c r="AC171" i="1"/>
  <c r="AD171" i="1"/>
  <c r="AC172" i="1"/>
  <c r="AD172" i="1"/>
  <c r="AC173" i="1"/>
  <c r="AD173" i="1"/>
  <c r="AC174" i="1"/>
  <c r="AD174" i="1"/>
  <c r="AC175" i="1"/>
  <c r="AD175" i="1"/>
  <c r="AC176" i="1"/>
  <c r="AD176" i="1"/>
  <c r="AC177" i="1"/>
  <c r="AD177" i="1"/>
  <c r="AC178" i="1"/>
  <c r="AD178" i="1"/>
  <c r="AC179" i="1"/>
  <c r="AD179" i="1"/>
  <c r="AC180" i="1"/>
  <c r="AD180" i="1"/>
  <c r="AC181" i="1"/>
  <c r="AD181" i="1"/>
  <c r="AC182" i="1"/>
  <c r="AD182" i="1"/>
  <c r="AC183" i="1"/>
  <c r="AD183" i="1"/>
  <c r="AC184" i="1"/>
  <c r="AD184" i="1"/>
  <c r="AC185" i="1"/>
  <c r="AD185" i="1"/>
  <c r="AC186" i="1"/>
  <c r="AD186" i="1"/>
  <c r="AC187" i="1"/>
  <c r="AD187" i="1"/>
  <c r="AC188" i="1"/>
  <c r="AD188" i="1"/>
  <c r="AC189" i="1"/>
  <c r="AD189" i="1"/>
  <c r="AC190" i="1"/>
  <c r="AD190" i="1"/>
  <c r="AC191" i="1"/>
  <c r="AD191" i="1"/>
  <c r="AC192" i="1"/>
  <c r="AD192" i="1"/>
  <c r="AC193" i="1"/>
  <c r="AD193" i="1"/>
  <c r="AC194" i="1"/>
  <c r="AD194" i="1"/>
  <c r="AC195" i="1"/>
  <c r="AD195" i="1"/>
  <c r="AC196" i="1"/>
  <c r="AD196" i="1"/>
  <c r="AC197" i="1"/>
  <c r="AD197" i="1"/>
  <c r="AC198" i="1"/>
  <c r="AD198" i="1"/>
  <c r="AC199" i="1"/>
  <c r="AD199" i="1"/>
  <c r="AC200" i="1"/>
  <c r="AD200" i="1"/>
  <c r="AC201" i="1"/>
  <c r="AD201" i="1"/>
  <c r="AC202" i="1"/>
  <c r="AD202" i="1"/>
  <c r="AC203" i="1"/>
  <c r="AD203" i="1"/>
  <c r="AC204" i="1"/>
  <c r="AD204" i="1"/>
  <c r="AC205" i="1"/>
  <c r="AD205" i="1"/>
  <c r="AC206" i="1"/>
  <c r="AD206" i="1"/>
  <c r="AC207" i="1"/>
  <c r="AD207" i="1"/>
  <c r="AC208" i="1"/>
  <c r="AD208" i="1"/>
  <c r="AC209" i="1"/>
  <c r="AD209" i="1"/>
  <c r="AC210" i="1"/>
  <c r="AD210" i="1"/>
  <c r="AC211" i="1"/>
  <c r="AD211" i="1"/>
  <c r="AC212" i="1"/>
  <c r="AD212" i="1"/>
  <c r="AC213" i="1"/>
  <c r="AD213" i="1"/>
  <c r="AC214" i="1"/>
  <c r="AD214" i="1"/>
  <c r="AC215" i="1"/>
  <c r="AD215" i="1"/>
  <c r="AC216" i="1"/>
  <c r="AD216" i="1"/>
  <c r="AC217" i="1"/>
  <c r="AD217" i="1"/>
  <c r="AC218" i="1"/>
  <c r="AD218" i="1"/>
  <c r="AC219" i="1"/>
  <c r="AD219" i="1"/>
  <c r="AC220" i="1"/>
  <c r="AD220" i="1"/>
  <c r="AC221" i="1"/>
  <c r="AD221" i="1"/>
  <c r="AC222" i="1"/>
  <c r="AD222" i="1"/>
  <c r="AC223" i="1"/>
  <c r="AD223" i="1"/>
  <c r="AC224" i="1"/>
  <c r="AD224" i="1"/>
  <c r="AC225" i="1"/>
  <c r="AD225" i="1"/>
  <c r="AC226" i="1"/>
  <c r="AD226" i="1"/>
  <c r="AC227" i="1"/>
  <c r="AD227" i="1"/>
  <c r="AC228" i="1"/>
  <c r="AD228" i="1"/>
  <c r="AC229" i="1"/>
  <c r="AD229" i="1"/>
  <c r="AC230" i="1"/>
  <c r="AD230" i="1"/>
  <c r="AC231" i="1"/>
  <c r="AD231" i="1"/>
  <c r="AC232" i="1"/>
  <c r="AD232" i="1"/>
  <c r="AC233" i="1"/>
  <c r="AD233" i="1"/>
  <c r="AC234" i="1"/>
  <c r="AD234" i="1"/>
  <c r="AC235" i="1"/>
  <c r="AD235" i="1"/>
  <c r="AC236" i="1"/>
  <c r="AD236" i="1"/>
  <c r="AC237" i="1"/>
  <c r="AD237" i="1"/>
  <c r="AC238" i="1"/>
  <c r="AD238" i="1"/>
  <c r="AC239" i="1"/>
  <c r="AD239" i="1"/>
  <c r="AC240" i="1"/>
  <c r="AD240" i="1"/>
  <c r="AC241" i="1"/>
  <c r="AD241" i="1"/>
  <c r="AC242" i="1"/>
  <c r="AD242" i="1"/>
  <c r="AC243" i="1"/>
  <c r="AD243" i="1"/>
  <c r="AC244" i="1"/>
  <c r="AD244" i="1"/>
  <c r="AC245" i="1"/>
  <c r="AD245" i="1"/>
  <c r="AC246" i="1"/>
  <c r="AD246" i="1"/>
  <c r="AC247" i="1"/>
  <c r="AD247" i="1"/>
  <c r="AD2" i="1"/>
  <c r="AC2" i="1"/>
</calcChain>
</file>

<file path=xl/sharedStrings.xml><?xml version="1.0" encoding="utf-8"?>
<sst xmlns="http://schemas.openxmlformats.org/spreadsheetml/2006/main" count="4671" uniqueCount="990">
  <si>
    <t>ID</t>
  </si>
  <si>
    <t>Проект</t>
  </si>
  <si>
    <t>Доска</t>
  </si>
  <si>
    <t>Колонка</t>
  </si>
  <si>
    <t>Корневая задача</t>
  </si>
  <si>
    <t>Родительская задача</t>
  </si>
  <si>
    <t>Автор</t>
  </si>
  <si>
    <t>Задача</t>
  </si>
  <si>
    <t>Дата начала</t>
  </si>
  <si>
    <t>Дедлайн</t>
  </si>
  <si>
    <t>Оценка времени</t>
  </si>
  <si>
    <t>Тип</t>
  </si>
  <si>
    <t>Приоритет</t>
  </si>
  <si>
    <t>Выполнена</t>
  </si>
  <si>
    <t>Дата выполнения</t>
  </si>
  <si>
    <t>Дата создания</t>
  </si>
  <si>
    <t>Просроченные дни</t>
  </si>
  <si>
    <t>Исполнители</t>
  </si>
  <si>
    <t>Подписчики</t>
  </si>
  <si>
    <t>Сделка</t>
  </si>
  <si>
    <t>Изображение</t>
  </si>
  <si>
    <t>Приватная</t>
  </si>
  <si>
    <t>Повторяемая</t>
  </si>
  <si>
    <t>Описание</t>
  </si>
  <si>
    <t>Теги</t>
  </si>
  <si>
    <t>Потраченное время</t>
  </si>
  <si>
    <t>История</t>
  </si>
  <si>
    <t>ЛИЧНО сентябрь 24.09.2026</t>
  </si>
  <si>
    <t>Дивизион Конференции</t>
  </si>
  <si>
    <t>К работе</t>
  </si>
  <si>
    <t>Екатерина</t>
  </si>
  <si>
    <t>3.61. Оплатить оборудование и доп.питание</t>
  </si>
  <si>
    <t>28.09.2026 03:00</t>
  </si>
  <si>
    <t>01.10.2026</t>
  </si>
  <si>
    <t>Действие</t>
  </si>
  <si>
    <t>Низкий</t>
  </si>
  <si>
    <t>N</t>
  </si>
  <si>
    <t>29.04.2026 14:01:16</t>
  </si>
  <si>
    <t>POST, координатор, страт-п-с-26-09</t>
  </si>
  <si>
    <t>2026-04-29 14:01:17: Екатерина создал(-а) задачу;
2026-04-29 15:01:30: Екатерина изменил(-а) дату на 28.09.2026;
2026-04-29 15:01:32: Екатерина изменил(-а) дату на 28.09.2026 - 28.09.2026;
2026-04-29 15:01:33: Екатерина изменил(-а) дату на 28.09.2026 - 01.10.2026;
2026-04-29 15:01:45: Екатерина добавил(-а) тег POST;
2026-04-29 15:01:47: Екатерина добавил(-а) тег страт-п-с-26-09;
2026-04-29 15:01:50: Екатерина добавил(-а) тег Лидген;
2026-04-29 15:56:05: Екатерина изменил(-а) название на 3.62. Оплатить оборудование и доп.питание;
2026-04-30 10:43:39: Екатерина изменил(-а) название на 3.61. Оплатить оборудование и доп.питание;
2026-04-30 14:43:14: Екатерина убрал(-а) тег страт-п-с-26-09;
2026-04-30 14:43:17: Екатерина убрал(-а) тег Лидген;
2026-04-30 14:43:23: Екатерина добавил(-а) тег координатор;
2026-04-30 14:43:24: Екатерина добавил(-а) тег страт-п-с-26-09</t>
  </si>
  <si>
    <t>4.05. Проанализировать полученные от продюсеров результаты глубинного исследования</t>
  </si>
  <si>
    <t>01.06.2026 03:00</t>
  </si>
  <si>
    <t>04.06.2026</t>
  </si>
  <si>
    <t>28.04.2026 18:39:45</t>
  </si>
  <si>
    <t>PRE, Лидген, страт-п-с-26-09</t>
  </si>
  <si>
    <t>2026-04-28 18:39:45: Екатерина создал(-а) задачу;
2026-04-29 11:31:52: Екатерина изменил(-а) дату на 02.06.2026;
2026-04-29 11:31:53: Екатерина изменил(-а) дату на 01.06.2026 - 02.06.2026;
2026-04-29 11:31:56: Екатерина изменил(-а) дату на 01.06.2026 - 04.06.2026;
2026-04-29 13:23:39: Екатерина добавил(-а) тег PRE;
2026-04-29 13:23:42: Екатерина добавил(-а) тег лидген;
2026-04-29 13:23:43: Екатерина добавил(-а) тег страт-п-с-26-09;
2026-04-29 13:24:54: Екатерина убрал(-а) тег лидген;
2026-04-29 13:25:03: Екатерина добавил(-а) тег Лидген;
2026-04-30 14:42:56: Екатерина убрал(-а) тег страт-п-с-26-09;
2026-04-30 14:42:59: Екатерина добавил(-а) тег страт-п-с-26-09</t>
  </si>
  <si>
    <t>4.06. Получить от продюсеров и проанализировать Концепцию и Программу</t>
  </si>
  <si>
    <t>4.06.1. Получить от продюсеров и проанализировать Концепцию и Программу</t>
  </si>
  <si>
    <t>28.04.2026 18:22:41</t>
  </si>
  <si>
    <t>2026-04-28 18:22:41: Екатерина создал(-а) задачу</t>
  </si>
  <si>
    <t>4.03. Подготовить семантическое ядро</t>
  </si>
  <si>
    <t>4.03.1. Для проведение маркетингового анализа и  разработки семантического ядра изучить полученные от продюсеров результаты кабинетного исследования</t>
  </si>
  <si>
    <t>28.04.2026 18:18:38</t>
  </si>
  <si>
    <t>2026-04-28 18:18:38: Екатерина создал(-а) задачу;
2026-04-28 19:08:26: Екатерина изменил(-а) название на 4/Для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19:08:28: Екатерина изменил(-а) название на 4.03Для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19:08:29: Екатерина изменил(-а) название на 4.03.Для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19:08:30: Екатерина изменил(-а) название на 4.03.1.Для проведение маркетингового анализа и разработки семантического ядра изучить полученные от продюсеров результаты кабинетного исследования;
2026-04-28 19:08:33: Екатерина изменил(-а) название на 4.03.1. Для проведение маркетингового анализа и разработки семантического ядра изучить полученные от продюсеров результаты кабинетного исследования</t>
  </si>
  <si>
    <t>4.01. Подготовиться к Первичному совещанию</t>
  </si>
  <si>
    <t>4.01.3. Подготовить базу на основе анализа емкости рынка</t>
  </si>
  <si>
    <t>28.04.2026 18:12:33</t>
  </si>
  <si>
    <t>2026-04-28 18:12:33: Екатерина создал(-а) задачу</t>
  </si>
  <si>
    <t>4.01.2. Посчитать емкость рынка</t>
  </si>
  <si>
    <t>28.04.2026 18:12:14</t>
  </si>
  <si>
    <t>2026-04-28 18:12:15: Екатерина создал(-а) задачу</t>
  </si>
  <si>
    <t>4.01.1. Презентовать анализ  рекламной кампании прошлого мероприятия с декомпозицией каналов</t>
  </si>
  <si>
    <t>28.04.2026 18:10:33</t>
  </si>
  <si>
    <t>2026-04-28 18:10:34: Екатерина создал(-а) задачу;
2026-04-28 18:11:05: Екатерина изменил(-а) название на 4.01.1. Презентовать анализ рекламной кампании прошлого мероприятия с декомпозицией каналов;
2026-04-29 13:22:52: Екатерина добавил(-а) тег PRE;
2026-04-29 13:22:56: Екатерина добавил(-а) тег лидген;
2026-04-29 13:22:58: Екатерина добавил(-а) тег страт-п-с-26-09;
2026-04-29 13:23:10: Екатерина убрал(-а) тег PRE;
2026-04-29 13:23:11: Екатерина убрал(-а) тег лидген;
2026-04-29 13:23:13: Екатерина убрал(-а) тег страт-п-с-26-09</t>
  </si>
  <si>
    <t>18.05.2026 03:00</t>
  </si>
  <si>
    <t>19.05.2026</t>
  </si>
  <si>
    <t>28.04.2026 17:29:49</t>
  </si>
  <si>
    <t>2026-04-28 17:29:49: Екатерина скопировал(-а) задачу #212 4.1.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лидам;
2026-04-28 17:35:18: Екатерина изменил(-а) название на 4.01.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 - Копия;
2026-04-28 18:10:34: Екатерина добавил(-а) подзадачу #451 4.01.1. Презентовать анализ рекламной кампании прошлого мероприятия с декомпозицией каналов;
2026-04-28 18:12:15: Екатерина добавил(-а) подзадачу #452 4.01.2. Посчитать емкость рынка;
2026-04-28 18:12:34: Екатерина добавил(-а) подзадачу #453 4.01.3. Подготовить базу на основе анализа емкости рынка;
2026-04-28 18:13:11: Екатерина изменил(-а) название на 4.01. Подготовиться к;
2026-04-28 18:13:16: Екатерина изменил(-а) название на 4.01. Подготовиться к Первичному совещанию;
2026-04-29 10:00:22: Екатерина добавил(-а) тег лидген;
2026-04-29 11:30:19: Екатерина изменил(-а) дату на 10.05.2026 - 06.07.2026;
2026-04-29 11:30:20: Екатерина изменил(-а) дату на 10.05.2026 - 11.05.2026;
2026-04-29 11:30:30: Екатерина изменил(-а) дату на 10.05.2026 - 19.05.2026;
2026-04-29 11:30:34: Екатерина изменил(-а) дату на 18.05.2026 - 19.05.2026;
2026-04-29 13:22:48: Екатерина добавил(-а) тег PRE;
2026-04-29 13:23:02: Екатерина добавил(-а) тег страт-п-с-26-09;
2026-04-30 14:37:49: Екатерина убрал(-а) тег лидген;
2026-04-30 14:37:51: Екатерина убрал(-а) тег страт-п-с-26-09;
2026-04-30 14:37:58: Екатерина добавил(-а) тег лидген;
2026-04-30 14:38:02: Екатерина добавил(-а) тег страт-п-с-26-09;
2026-04-30 14:43:35: Екатерина убрал(-а) тег лидген;
2026-04-30 14:43:37: Екатерина убрал(-а) тег страт-п-с-26-09;
2026-04-30 14:43:41: Екатерина добавил(-а) тег Лидген;
2026-04-30 14:43:43: Екатерина добавил(-а) тег страт-п-с-26-09</t>
  </si>
  <si>
    <t>3.60. Проведено итоговое совещание по проекту</t>
  </si>
  <si>
    <t>28.04.2026 17:00:20</t>
  </si>
  <si>
    <t>2026-04-28 17:00:20: Екатерина создал(-а) задачу;
2026-04-29 11:28:33: Екатерина изменил(-а) дату на 29.09.2026;
2026-04-29 11:28:34: Екатерина изменил(-а) дату на 28.09.2026 - 29.09.2026;
2026-04-29 11:28:37: Екатерина изменил(-а) дату на 28.09.2026 - 01.10.2026;
2026-04-29 13:22:18: Екатерина добавил(-а) тег POST;
2026-04-29 13:22:40: Екатерина добавил(-а) тег координатор;
2026-04-29 13:22:41: Екатерина добавил(-а) тег страт-п-с-26-09;
2026-04-29 15:56:02: Екатерина изменил(-а) название на 3.61. Проведено итоговое совещание по проекту;
2026-04-30 10:43:36: Екатерина изменил(-а) название на 3.60. Проведено итоговое совещание по проекту</t>
  </si>
  <si>
    <t>3.59. Отправлены благодарности, презентации, фотографии участникам</t>
  </si>
  <si>
    <t>28.04.2026 16:59:49</t>
  </si>
  <si>
    <t>2026-04-28 16:59:49: Екатерина создал(-а) задачу;
2026-04-29 11:28:49: Екатерина изменил(-а) дату на 29.09.2026;
2026-04-29 11:28:50: Екатерина изменил(-а) дату на 27.09.2026 - 29.09.2026;
2026-04-29 11:28:52: Екатерина изменил(-а) дату на 27.09.2026 - 02.10.2026;
2026-04-29 11:28:53: Екатерина изменил(-а) дату на 28.09.2026 - 02.10.2026;
2026-04-29 11:28:55: Екатерина изменил(-а) дату на 28.09.2026 - 01.10.2026;
2026-04-29 13:22:14: Екатерина добавил(-а) тег POST;
2026-04-29 13:22:28: Екатерина добавил(-а) тег координатор;
2026-04-29 13:22:29: Екатерина добавил(-а) тег страт-п-с-26-09;
2026-04-29 15:55:58: Екатерина изменил(-а) название на 3.60. Отправлены благодарности, презентации, фотографии участникам;
2026-04-30 10:43:31: Екатерина изменил(-а) название на 3.59. Отправлены благодарности, презентации, фотографии участникам</t>
  </si>
  <si>
    <t>3.58. Подготовлен отчет + и - мероприятия</t>
  </si>
  <si>
    <t>28.04.2026 16:59:37</t>
  </si>
  <si>
    <t>2026-04-28 16:59:37: Екатерина создал(-а) задачу;
2026-04-28 17:00:05: Екатерина изменил(-а) название на 3.62. Подготовлен отчет + и +- мероприятия;
2026-04-28 17:00:07: Екатерина изменил(-а) название на 3.62. Подготовлен отчет + и - мероприятия;
2026-04-29 11:28:39: Екатерина изменил(-а) дату на 29.09.2026;
2026-04-29 11:28:41: Екатерина изменил(-а) дату на 27.09.2026 - 29.09.2026;
2026-04-29 11:28:43: Екатерина изменил(-а) дату на 27.09.2026 - 02.10.2026;
2026-04-29 11:28:46: Екатерина изменил(-а) дату на 28.09.2026 - 02.10.2026;
2026-04-29 11:28:49: Екатерина изменил(-а) дату на 28.09.2026 - 01.10.2026;
2026-04-29 13:22:10: Екатерина добавил(-а) тег POST;
2026-04-29 13:22:22: Екатерина добавил(-а) тег координатор;
2026-04-29 13:22:23: Екатерина добавил(-а) тег страт-п-с-26-09;
2026-04-29 15:55:51: Екатерина изменил(-а) название на 3.59. Подготовлен отчет + и - мероприятия;
2026-04-30 10:43:26: Екатерина изменил(-а) название на 3.58. Подготовлен отчет + и - мероприятия</t>
  </si>
  <si>
    <t>3.57. Подготовлен отчет по подотчетным</t>
  </si>
  <si>
    <t>28.04.2026 16:59:26</t>
  </si>
  <si>
    <t>2026-04-28 16:59:26: Екатерина создал(-а) задачу;
2026-04-29 11:11:02: Екатерина добавил(-а) тег POST;
2026-04-29 11:28:15: Екатерина изменил(-а) дату на 26.09.2026;
2026-04-29 11:28:18: Екатерина изменил(-а) дату на 26.09.2026 - 29.09.2026;
2026-04-29 11:28:22: Екатерина изменил(-а) дату на 28.09.2026 - 29.09.2026;
2026-04-29 11:28:26: Екатерина изменил(-а) дату на 28.09.2026 - 01.10.2026;
2026-04-29 13:22:04: Екатерина добавил(-а) тег координатор;
2026-04-29 13:22:06: Екатерина добавил(-а) тег страт-п-с-26-09;
2026-04-29 15:55:46: Екатерина изменил(-а) название на 3.58. Подготовлен отчет по подотчетным;
2026-04-30 10:43:22: Екатерина изменил(-а) название на 3.57. Подготовлен отчет по подотчетным</t>
  </si>
  <si>
    <t>3.56. Сверка на предмет участие, все ли оплатившие пришли, чтобы исключить претензии</t>
  </si>
  <si>
    <t>24.09.2026</t>
  </si>
  <si>
    <t>28.04.2026 16:59:17</t>
  </si>
  <si>
    <t>D, координатор, страт-п-с-26-09</t>
  </si>
  <si>
    <t>2026-04-28 16:59:17: Екатерина создал(-а) задачу;
2026-04-29 11:28:08: Екатерина изменил(-а) дату на 24.09.2026;
2026-04-29 11:28:09: Екатерина изменил(-а) дату на 24.09.2026 - 25.09.2026;
2026-04-29 11:28:13: Екатерина изменил(-а) дату на 24.09.2026;
2026-04-29 13:21:34: Екатерина добавил(-а) тег D;
2026-04-29 13:21:58: Екатерина добавил(-а) тег координатор;
2026-04-29 13:21:59: Екатерина добавил(-а) тег страт-п-с-26-09;
2026-04-29 15:55:10: Екатерина изменил(-а) название на 3.57. Сверка на предмет участие, все ли оплатившие пришли, чтобы исключить претензии;
2026-04-30 10:43:17: Екатерина изменил(-а) название на 3.55. Сверка на предмет участие, все ли оплатившие пришли, чтобы исключить претензии;
2026-04-30 10:43:17: Екатерина изменил(-а) название на 3.5. Сверка на предмет участие, все ли оплатившие пришли, чтобы исключить претензии;
2026-04-30 10:43:18: Екатерина изменил(-а) название на 3.56. Сверка на предмет участие, все ли оплатившие пришли, чтобы исключить претензии</t>
  </si>
  <si>
    <t>3.55. День мероприятия: 
Меропритиятие проведено</t>
  </si>
  <si>
    <t>28.04.2026 16:59:03</t>
  </si>
  <si>
    <t>2026-04-28 16:59:03: Екатерина создал(-а) задачу;
2026-04-29 11:27:51: Екатерина изменил(-а) дату на 25.09.2026;
2026-04-29 11:27:54: Екатерина изменил(-а) дату на 24.09.2026 - 25.09.2026;
2026-04-29 11:27:56: Екатерина изменил(-а) дату на 24.09.2026;
2026-04-29 13:21:32: Екатерина добавил(-а) тег D;
2026-04-29 13:21:52: Екатерина добавил(-а) тег координатор;
2026-04-29 13:21:54: Екатерина добавил(-а) тег страт-п-с-26-09;
2026-04-29 15:53:22: Екатерина изменил(-а) название на 3.56. День мероприятия: 
Меропритиятие проведено;
2026-04-30 10:43:10: Екатерина изменил(-а) название на 3.55. День мероприятия: 
Меропритиятие проведено</t>
  </si>
  <si>
    <t>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</t>
  </si>
  <si>
    <t>23.09.2026</t>
  </si>
  <si>
    <t>28.04.2026 16:58:51</t>
  </si>
  <si>
    <t>2026-04-28 16:58:51: Екатерина создал(-а) задачу;
2026-04-29 11:10:53: Екатерина добавил(-а) тег D;
2026-04-29 11:27:41: Екатерина изменил(-а) дату на 20.09.2026;
2026-04-29 11:27:44: Екатерина изменил(-а) дату на 20.09.2026 - 23.09.2026;
2026-04-29 11:27:49: Екатерина изменил(-а) дату на 23.09.2026;
2026-04-29 13:21:44: Екатерина добавил(-а) тег координатор;
2026-04-29 13:21:46: Екатерина добавил(-а) тег страт-п-с-26-09;
2026-04-29 15:53:17: Екатерина изменил(-а) название на 3.55. День монтажа: площадка подготовлена: заезд, накрытие зала, накрытие регистрации, заезд и контроль подрядчиков: питание, оборудование, полиграфия и т.д.;
2026-04-30 10:43:06: Екатерина изменил(-а) название на 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</t>
  </si>
  <si>
    <t>3.53.  Произведена проверка битрикса-списка участников с бухреестром</t>
  </si>
  <si>
    <t>14.09.2026 03:00</t>
  </si>
  <si>
    <t>17.09.2026</t>
  </si>
  <si>
    <t>28.04.2026 16:58:37</t>
  </si>
  <si>
    <t>PRO, координатор, страт-п-с-26-09</t>
  </si>
  <si>
    <t>2026-04-28 16:58:37: Екатерина создал(-а) задачу;
2026-04-29 11:26:30: Екатерина изменил(-а) дату на 14.09.2026;
2026-04-29 11:26:31: Екатерина изменил(-а) дату на 13.09.2026 - 14.09.2026;
2026-04-29 11:26:36: Екатерина изменил(-а) дату на 13.09.2026 - 16.09.2026;
2026-04-29 11:26:39: Екатерина изменил(-а) дату на 14.09.2026 - 16.09.2026;
2026-04-29 11:26:41: Екатерина изменил(-а) дату на 14.09.2026 - 17.09.2026;
2026-04-29 13:21:21: Екатерина добавил(-а) тег PRO;
2026-04-29 13:21:23: Екатерина добавил(-а) тег координатор;
2026-04-29 13:21:25: Екатерина добавил(-а) тег страт-п-с-26-09;
2026-04-29 15:53:09: Екатерина изменил(-а) название на 3.54. Произведена проверка битрикса-списка участников с бухреестром;
2026-04-30 10:43:00: Екатерина изменил(-а) название на 3.53. Произведена проверка битрикса-списка участников с бухреестром</t>
  </si>
  <si>
    <t>3.52. Куплены подарки спикерам при необходимости</t>
  </si>
  <si>
    <t>28.04.2026 16:58:26</t>
  </si>
  <si>
    <t>2026-04-28 16:58:27: Екатерина создал(-а) задачу;
2026-04-29 11:27:27: Екатерина изменил(-а) дату на 15.09.2026;
2026-04-29 11:27:29: Екатерина изменил(-а) дату на 14.09.2026 - 15.09.2026;
2026-04-29 11:27:32: Екатерина изменил(-а) дату на 14.09.2026 - 17.09.2026;
2026-04-29 13:21:14: Екатерина добавил(-а) тег PRO;
2026-04-29 13:21:17: Екатерина добавил(-а) тег координатор;
2026-04-29 13:21:18: Екатерина добавил(-а) тег страт-п-с-26-09;
2026-04-29 15:16:38: Екатерина изменил(-а) название на 3.53. Куплены подарки спикерам при необходимости;
2026-04-30 10:42:56: Екатерина изменил(-а) название на 3.52. Куплены подарки спикерам при необходимости</t>
  </si>
  <si>
    <t>3.51. Получены деньги подотчет для мероприятия</t>
  </si>
  <si>
    <t>28.04.2026 16:58:14</t>
  </si>
  <si>
    <t>2026-04-28 16:58:14: Екатерина создал(-а) задачу;
2026-04-29 11:27:23: Екатерина изменил(-а) дату на 15.09.2026;
2026-04-29 11:27:25: Екатерина изменил(-а) дату на 14.09.2026 - 15.09.2026;
2026-04-29 11:27:26: Екатерина изменил(-а) дату на 14.09.2026 - 17.09.2026;
2026-04-29 13:21:06: Екатерина добавил(-а) тег PRO;
2026-04-29 13:21:09: Екатерина добавил(-а) тег координатор;
2026-04-29 13:21:10: Екатерина добавил(-а) тег страт-п-с-26-09;
2026-04-29 15:16:35: Екатерина изменил(-а) название на 3.52. Получены деньги подотчет для мероприятия;
2026-04-30 10:42:52: Екатерина изменил(-а) название на 3.51. Получены деньги подотчет для мероприятия</t>
  </si>
  <si>
    <t>3.50. На площадку сдана вся информация: рассадка, расстановка, списки, машины, картинки, тайминг и т.д.</t>
  </si>
  <si>
    <t>28.04.2026 16:58:02</t>
  </si>
  <si>
    <t>2026-04-28 16:58:02: Екатерина создал(-а) задачу;
2026-04-29 11:27:20: Екатерина изменил(-а) дату на 15.09.2026;
2026-04-29 11:27:21: Екатерина изменил(-а) дату на 14.09.2026 - 15.09.2026;
2026-04-29 11:27:22: Екатерина изменил(-а) дату на 14.09.2026 - 17.09.2026;
2026-04-29 13:20:59: Екатерина добавил(-а) тег PRO;
2026-04-29 13:21:03: Екатерина добавил(-а) тег координатор;
2026-04-29 13:21:03: Екатерина добавил(-а) тег страт-п-с-26-09;
2026-04-29 15:16:32: Екатерина изменил(-а) название на 3.51. На площадку сдана вся информация: рассадка, расстановка, списки, машины, картинки, тайминг и т.д.;
2026-04-30 10:42:49: Екатерина изменил(-а) название на 3.50. На площадку сдана вся информация: рассадка, расстановка, списки, машины, картинки, тайминг и т.д.</t>
  </si>
  <si>
    <t>3.49. Получено подтверждение по доставке и заезду</t>
  </si>
  <si>
    <t>28.04.2026 16:57:50</t>
  </si>
  <si>
    <t>2026-04-28 16:57:51: Екатерина создал(-а) задачу;
2026-04-29 11:27:15: Екатерина изменил(-а) дату на 15.09.2026;
2026-04-29 11:27:16: Екатерина изменил(-а) дату на 14.09.2026 - 15.09.2026;
2026-04-29 11:27:18: Екатерина изменил(-а) дату на 14.09.2026 - 17.09.2026;
2026-04-29 13:20:52: Екатерина добавил(-а) тег PRO;
2026-04-29 13:20:55: Екатерина добавил(-а) тег координатор;
2026-04-29 13:20:56: Екатерина добавил(-а) тег страт-п-с-26-09;
2026-04-29 15:16:24: Екатерина изменил(-а) название на 3.50. Получено подтверждение по доставке и заезду;
2026-04-30 10:42:46: Екатерина изменил(-а) название на 3.49. Получено подтверждение по доставке и заезду</t>
  </si>
  <si>
    <t>3.48. Рабочая тетрадь, оформление сдано в типографию</t>
  </si>
  <si>
    <t>28.04.2026 16:57:41</t>
  </si>
  <si>
    <t>2026-04-28 16:57:41: Екатерина создал(-а) задачу;
2026-04-29 11:27:08: Екатерина изменил(-а) дату на 15.09.2026;
2026-04-29 11:27:10: Екатерина изменил(-а) дату на 14.09.2026 - 15.09.2026;
2026-04-29 11:27:11: Екатерина изменил(-а) дату на 14.09.2026 - 17.09.2026;
2026-04-29 13:19:58: Екатерина добавил(-а) тег PRO;
2026-04-29 13:20:02: Екатерина добавил(-а) тег координатор;
2026-04-29 13:20:03: Екатерина добавил(-а) тег страт-п-с-26-09;
2026-04-29 15:16:17: Екатерина изменил(-а) название на 3.49. Рабочая тетрадь, оформление сдано в типографию;
2026-04-30 10:42:39: Екатерина изменил(-а) название на 3.48. Рабочая тетрадь, оформление сдано в типографию</t>
  </si>
  <si>
    <t>3.47. Проведена совещание-распределение с рабочей группой, кто едет на меропритие</t>
  </si>
  <si>
    <t>28.04.2026 16:57:27</t>
  </si>
  <si>
    <t>2026-04-28 16:57:28: Екатерина создал(-а) задачу;
2026-04-29 11:27:04: Екатерина изменил(-а) дату на 15.09.2026;
2026-04-29 11:27:05: Екатерина изменил(-а) дату на 14.09.2026 - 15.09.2026;
2026-04-29 11:27:07: Екатерина изменил(-а) дату на 14.09.2026 - 17.09.2026;
2026-04-29 13:19:50: Екатерина добавил(-а) тег PRO;
2026-04-29 13:19:55: Екатерина добавил(-а) тег координатор;
2026-04-29 13:19:55: Екатерина добавил(-а) тег страт-п-с-26-09;
2026-04-29 15:16:12: Екатерина изменил(-а) название на 3.48. Проведена совещание-распределение с рабочей группой, кто едет на меропритие;
2026-04-30 10:42:36: Екатерина изменил(-а) название на 3.47. Проведена совещание-распределение с рабочей группой, кто едет на меропритие</t>
  </si>
  <si>
    <t>3.46. Сформирована папка координатора</t>
  </si>
  <si>
    <t>28.04.2026 16:57:16</t>
  </si>
  <si>
    <t>2026-04-28 16:57:16: Екатерина создал(-а) задачу;
2026-04-29 11:26:59: Екатерина изменил(-а) дату на 15.09.2026;
2026-04-29 11:27:01: Екатерина изменил(-а) дату на 14.09.2026 - 15.09.2026;
2026-04-29 11:27:02: Екатерина изменил(-а) дату на 14.09.2026 - 17.09.2026;
2026-04-29 13:19:43: Екатерина добавил(-а) тег PRO;
2026-04-29 13:19:47: Екатерина добавил(-а) тег координатор;
2026-04-29 13:19:47: Екатерина добавил(-а) тег страт-п-с-26-09;
2026-04-29 15:16:08: Екатерина изменил(-а) название на 3.47. Сформирована папка координатора;
2026-04-30 10:42:33: Екатерина изменил(-а) название на 3.46. Сформирована папка координатора</t>
  </si>
  <si>
    <t>3.45. Сформирована папка участников мероприятия: бейджи, бух документы</t>
  </si>
  <si>
    <t>28.04.2026 16:57:03</t>
  </si>
  <si>
    <t>2026-04-28 16:57:04: Екатерина создал(-а) задачу;
2026-04-29 11:26:53: Екатерина изменил(-а) дату на 15.09.2026;
2026-04-29 11:26:55: Екатерина изменил(-а) дату на 14.09.2026 - 15.09.2026;
2026-04-29 11:26:57: Екатерина изменил(-а) дату на 14.09.2026 - 17.09.2026;
2026-04-29 13:19:36: Екатерина добавил(-а) тег PRO;
2026-04-29 13:19:38: Екатерина добавил(-а) тег координатор;
2026-04-29 13:19:40: Екатерина добавил(-а) тег страт-п-с-26-09;
2026-04-29 15:16:03: Екатерина изменил(-а) название на 3.46. Сформирована папка участников мероприятия: бейджи, бух документы;
2026-04-30 10:42:28: Екатерина изменил(-а) название на 3.45. Сформирована папка участников мероприятия: бейджи, бух документы</t>
  </si>
  <si>
    <t>3.44. Памятки отправлены всем</t>
  </si>
  <si>
    <t>28.04.2026 16:56:52</t>
  </si>
  <si>
    <t>2026-04-28 16:56:52: Екатерина создал(-а) задачу;
2026-04-29 11:26:49: Екатерина изменил(-а) дату на 15.09.2026;
2026-04-29 11:26:50: Екатерина изменил(-а) дату на 14.09.2026 - 15.09.2026;
2026-04-29 11:26:52: Екатерина изменил(-а) дату на 14.09.2026 - 17.09.2026;
2026-04-29 13:19:29: Екатерина добавил(-а) тег PRO;
2026-04-29 13:19:32: Екатерина добавил(-а) тег координатор;
2026-04-29 13:19:33: Екатерина добавил(-а) тег страт-п-с-26-09;
2026-04-29 15:15:59: Екатерина изменил(-а) название на 3.45. Памятки отправлены всем;
2026-04-30 10:42:24: Екатерина изменил(-а) название на 3.44. Памятки отправлены всем</t>
  </si>
  <si>
    <t>3.43. Сформирован и оплачен окончательный заказ по площадке и подрядчикам, ВСЕМУ</t>
  </si>
  <si>
    <t>28.04.2026 16:56:39</t>
  </si>
  <si>
    <t>2026-04-28 16:56:40: Екатерина создал(-а) задачу;
2026-04-29 11:26:43: Екатерина изменил(-а) дату на 15.09.2026;
2026-04-29 11:26:46: Екатерина изменил(-а) дату на 15.09.2026 - 17.09.2026;
2026-04-29 11:26:48: Екатерина изменил(-а) дату на 14.09.2026 - 17.09.2026;
2026-04-29 13:19:19: Екатерина добавил(-а) тег PRO;
2026-04-29 13:19:23: Екатерина добавил(-а) тег координатор;
2026-04-29 13:19:25: Екатерина добавил(-а) тег страт-п-с-26-09;
2026-04-29 15:15:56: Екатерина изменил(-а) название на 3.44. Сформирован и оплачен окончательный заказ по площадке и подрядчикам, ВСЕМУ;
2026-04-30 10:42:21: Екатерина изменил(-а) название на 3.43. Сформирован и оплачен окончательный заказ по площадке и подрядчикам, ВСЕМУ</t>
  </si>
  <si>
    <t>3.42. Техническая подготовка завершена</t>
  </si>
  <si>
    <t>28.04.2026 16:56:20</t>
  </si>
  <si>
    <t>2026-04-28 16:56:20: Екатерина создал(-а) задачу;
2026-04-29 11:25:28: Екатерина изменил(-а) дату на 08.09.2026;
2026-04-29 11:25:37: Екатерина изменил(-а) дату на 08.09.2026 - 19.09.2026;
2026-04-29 11:25:46: Екатерина изменил(-а) дату на 19.09.2026;
2026-04-29 11:25:56: Екатерина изменил(-а) дату на 19.09.2026 - 22.09.2026;
2026-04-29 11:26:12: Екатерина изменил(-а) дату на 14.09.2026 - 22.09.2026;
2026-04-29 11:26:16: Екатерина изменил(-а) дату на 14.09.2026 - 17.09.2026;
2026-04-29 13:19:03: Екатерина добавил(-а) тег PRO;
2026-04-29 13:19:06: Екатерина добавил(-а) тег координатор;
2026-04-29 13:19:07: Екатерина добавил(-а) тег страт-п-с-26-09;
2026-04-29 15:15:49: Екатерина изменил(-а) название на 3.42. Техническая подготовка завершена</t>
  </si>
  <si>
    <t>3.41. Утвердить список подарков и гонораров</t>
  </si>
  <si>
    <t>07.09.2026 03:00</t>
  </si>
  <si>
    <t>10.09.2026</t>
  </si>
  <si>
    <t>28.04.2026 16:56:09</t>
  </si>
  <si>
    <t>2026-04-28 16:56:09: Екатерина создал(-а) задачу;
2026-04-28 17:19:57: Екатерина изменил(-а) название на 3.44. Утвердить список подарков и гонораров;
2026-04-29 11:24:08: Екатерина изменил(-а) дату на 08.09.2026;
2026-04-29 11:24:09: Екатерина изменил(-а) дату на 09.09.2026;
2026-04-29 11:24:10: Екатерина изменил(-а) дату на 09.09.2026 - 11.09.2026;
2026-04-29 11:24:56: Екатерина изменил(-а) дату на 07.09.2026 - 11.09.2026;
2026-04-29 11:24:59: Екатерина изменил(-а) дату на 07.09.2026 - 10.09.2026;
2026-04-29 13:18:56: Екатерина добавил(-а) тег PRO;
2026-04-29 13:19:00: Екатерина добавил(-а) тег координатор;
2026-04-29 13:19:00: Екатерина добавил(-а) тег страт-п-с-26-09;
2026-04-29 15:15:04: Екатерина изменил(-а) название на 3.41. Утвердить список подарков и гонораров</t>
  </si>
  <si>
    <t>3.40. Получить список спикеров для табличек, бейджей, подарков, гонораров</t>
  </si>
  <si>
    <t>28.04.2026 16:55:56</t>
  </si>
  <si>
    <t>2026-04-28 16:55:56: Екатерина создал(-а) задачу;
2026-04-28 17:20:09: Екатерина изменил(-а) название на 3.43. Получить список спикеров для табличек, бейджей, подарков, гонораров;
2026-04-29 11:24:46: Екатерина изменил(-а) дату на 08.09.2026;
2026-04-29 11:24:47: Екатерина изменил(-а) дату на 07.09.2026 - 08.09.2026;
2026-04-29 11:24:50: Екатерина изменил(-а) дату на 07.09.2026 - 10.09.2026;
2026-04-29 13:18:51: Екатерина добавил(-а) тег PRO;
2026-04-29 13:18:53: Екатерина добавил(-а) тег координатор;
2026-04-29 13:18:53: Екатерина добавил(-а) тег страт-п-с-26-09;
2026-04-29 15:15:01: Екатерина изменил(-а) название на 3.40. Получить список спикеров для табличек, бейджей, подарков, гонораров</t>
  </si>
  <si>
    <t>3.39. Провести совещание с продюсером</t>
  </si>
  <si>
    <t>28.04.2026 16:55:39</t>
  </si>
  <si>
    <t>2026-04-28 16:55:39: Екатерина создал(-а) задачу;
2026-04-28 17:20:21: Екатерина изменил(-а) название на 3.42. Провести совещание с продюсером;
2026-04-29 11:24:41: Екатерина изменил(-а) дату на 08.09.2026;
2026-04-29 11:24:43: Екатерина изменил(-а) дату на 07.09.2026 - 08.09.2026;
2026-04-29 11:24:45: Екатерина изменил(-а) дату на 07.09.2026 - 10.09.2026;
2026-04-29 13:18:44: Екатерина добавил(-а) тег PRO;
2026-04-29 13:18:48: Екатерина добавил(-а) тег координатор;
2026-04-29 13:18:48: Екатерина добавил(-а) тег страт-п-с-26-09;
2026-04-29 15:14:57: Екатерина изменил(-а) название на 3.3. Провести совещание с продюсером;
2026-04-29 15:14:57: Екатерина изменил(-а) название на 3.39. Провести совещание с продюсером</t>
  </si>
  <si>
    <t>3.38. Найти наемных, фотографа</t>
  </si>
  <si>
    <t>28.04.2026 16:55:28</t>
  </si>
  <si>
    <t>2026-04-28 16:55:28: Екатерина создал(-а) задачу;
2026-04-28 17:20:34: Екатерина изменил(-а) название на 3.41. Найти наемные, фотограф;
2026-04-28 17:20:36: Екатерина изменил(-а) название на 3.41. Найти наемных, фотограф;
2026-04-28 17:20:43: Екатерина изменил(-а) название на 3.41. Найти наемных, фотографа;
2026-04-29 11:24:35: Екатерина изменил(-а) дату на 08.09.2026;
2026-04-29 11:24:37: Екатерина изменил(-а) дату на 07.09.2026 - 08.09.2026;
2026-04-29 11:24:39: Екатерина изменил(-а) дату на 07.09.2026 - 10.09.2026;
2026-04-29 13:18:38: Екатерина добавил(-а) тег PRO;
2026-04-29 13:18:40: Екатерина добавил(-а) тег координатор;
2026-04-29 13:18:41: Екатерина добавил(-а) тег страт-п-с-26-09;
2026-04-29 15:14:52: Екатерина изменил(-а) название на 3.38. Найти наемных, фотографа</t>
  </si>
  <si>
    <t>3.37. Рабочая тетрадь: отдать ТЗ дизайнеру</t>
  </si>
  <si>
    <t>28.04.2026 16:55:16</t>
  </si>
  <si>
    <t>2026-04-28 16:55:16: Екатерина создал(-а) задачу;
2026-04-28 17:20:56: Екатерина изменил(-а) название на 3.40. Рабочая тетрадь: отдать ТЗ дизайнеру;
2026-04-29 11:24:31: Екатерина изменил(-а) дату на 08.09.2026;
2026-04-29 11:24:32: Екатерина изменил(-а) дату на 07.09.2026 - 08.09.2026;
2026-04-29 11:24:34: Екатерина изменил(-а) дату на 07.09.2026 - 10.09.2026;
2026-04-29 13:18:29: Екатерина добавил(-а) тег PRO;
2026-04-29 13:18:34: Екатерина добавил(-а) тег координатор;
2026-04-29 13:18:34: Екатерина добавил(-а) тег страт-п-с-26-09;
2026-04-29 15:14:42: Екатерина изменил(-а) название на 3.37. Рабочая тетрадь: отдать ТЗ дизайнеру</t>
  </si>
  <si>
    <t>3.36. Утвердить распределение по точкам и наемным</t>
  </si>
  <si>
    <t>28.04.2026 16:55:03</t>
  </si>
  <si>
    <t>2026-04-28 16:55:03: Екатерина создал(-а) задачу;
2026-04-28 17:21:21: Екатерина изменил(-а) название на 3.39. Утвердить распределение по точкам и наемным;
2026-04-29 11:24:24: Екатерина изменил(-а) дату на 09.09.2026;
2026-04-29 11:24:27: Екатерина изменил(-а) дату на 07.09.2026 - 09.09.2026;
2026-04-29 11:24:28: Екатерина изменил(-а) дату на 07.09.2026 - 10.09.2026;
2026-04-29 13:18:16: Екатерина добавил(-а) тег PRO;
2026-04-29 13:18:21: Екатерина добавил(-а) тег координатор;
2026-04-29 13:18:22: Екатерина добавил(-а) тег Продюсер;
2026-04-29 13:18:24: Екатерина убрал(-а) тег Продюсер;
2026-04-29 13:18:26: Екатерина добавил(-а) тег страт-п-с-26-09;
2026-04-29 15:14:37: Екатерина изменил(-а) название на 3.36. Утвердить распределение по точкам и наемным</t>
  </si>
  <si>
    <t>3.35. Утвердить и согласовать список полиграфии и макеты</t>
  </si>
  <si>
    <t>28.04.2026 16:54:51</t>
  </si>
  <si>
    <t>2026-04-28 16:54:51: Екатерина создал(-а) задачу;
2026-04-28 17:21:35: Екатерина изменил(-а) название на 3.38. Утвердить и согласован список полиграфии и макеты;
2026-04-28 17:21:40: Екатерина изменил(-а) название на 3.38. Утвердить и согласовать список полиграфии и макеты;
2026-04-29 11:24:17: Екатерина изменил(-а) дату на 08.09.2026;
2026-04-29 11:24:21: Екатерина изменил(-а) дату на 08.09.2026 - 10.09.2026;
2026-04-29 11:24:22: Екатерина изменил(-а) дату на 07.09.2026 - 10.09.2026;
2026-04-29 13:18:10: Екатерина добавил(-а) тег PRO;
2026-04-29 13:18:12: Екатерина добавил(-а) тег координатор;
2026-04-29 13:18:13: Екатерина добавил(-а) тег страт-п-с-26-09;
2026-04-29 15:14:33: Екатерина изменил(-а) название на 3.35. Утвердить и согласовать список полиграфии и макеты</t>
  </si>
  <si>
    <t>3.34. Провести корректировку сметы проведения в зависимости от продаж</t>
  </si>
  <si>
    <t>28.04.2026 16:54:40</t>
  </si>
  <si>
    <t>2026-04-28 16:54:41: Екатерина создал(-а) задачу;
2026-04-28 17:22:04: Екатерина изменил(-а) название на 3.37. Провести корректировка сметы проведения в зависимости от продаж;
2026-04-28 17:22:11: Екатерина изменил(-а) название на 3.37. Провести корректировку сметы проведения в зависимости от продаж;
2026-04-29 11:24:12: Екатерина изменил(-а) дату на 08.09.2026;
2026-04-29 11:24:14: Екатерина изменил(-а) дату на 07.09.2026 - 08.09.2026;
2026-04-29 11:24:15: Екатерина изменил(-а) дату на 07.09.2026 - 10.09.2026;
2026-04-29 13:18:01: Екатерина добавил(-а) тег PRO;
2026-04-29 13:18:05: Екатерина добавил(-а) тег координатор;
2026-04-29 13:18:06: Екатерина добавил(-а) тег страт-п-с-26-09;
2026-04-29 15:14:30: Екатерина изменил(-а) название на 3.34. Провести корректировку сметы проведения в зависимости от продаж</t>
  </si>
  <si>
    <t>3.33. Провести совещание с продюсером</t>
  </si>
  <si>
    <t>28.04.2026 16:54:29</t>
  </si>
  <si>
    <t>2026-04-28 16:54:30: Екатерина создал(-а) задачу;
2026-04-28 17:22:25: Екатерина изменил(-а) название на 3.36. Провести совещание с продюсером;
2026-04-28 17:22:28: Екатерина изменил(-а) название на 3.36. Провести совещание с продюсером;
2026-04-29 11:23:40: Екатерина изменил(-а) дату на 08.09.2026;
2026-04-29 11:23:41: Екатерина изменил(-а) дату на 07.09.2026 - 08.09.2026;
2026-04-29 11:23:43: Екатерина изменил(-а) дату на 07.09.2026 - 11.09.2026;
2026-04-29 11:23:46: Екатерина изменил(-а) дату на 07.09.2026 - 10.09.2026;
2026-04-29 13:17:55: Екатерина добавил(-а) тег PRO;
2026-04-29 13:17:58: Екатерина добавил(-а) тег координатор;
2026-04-29 13:17:58: Екатерина добавил(-а) тег страт-п-с-26-09;
2026-04-29 15:14:27: Екатерина изменил(-а) название на 3.33. Провести совещание с продюсером</t>
  </si>
  <si>
    <t>3.32. Провести проверку битрикс-списка участников с бухреестром</t>
  </si>
  <si>
    <t>28.04.2026 16:54:18</t>
  </si>
  <si>
    <t>2026-04-28 16:54:19: Екатерина создал(-а) задачу;
2026-04-28 17:22:45: Екатерина изменил(-а) название на 3.35. Произведена проверка битрикса-списка участников с бухреестром;
2026-04-28 17:22:57: Екатерина изменил(-а) название на 3.35. Провести проверка битрикса-списка участников с бухреестром;
2026-04-28 17:23:06: Екатерина изменил(-а) название на 3.35. Провести проверку битрикса-списка участников с бухреестром;
2026-04-28 17:23:09: Екатерина изменил(-а) название на 3.35. Провести проверку битрикс-списка участников с бухреестром;
2026-04-29 11:23:27: Екатерина изменил(-а) дату на 10.09.2026;
2026-04-29 11:23:37: Екатерина изменил(-а) дату на 07.09.2026 - 10.09.2026;
2026-04-29 13:17:49: Екатерина добавил(-а) тег PRO;
2026-04-29 13:17:52: Екатерина добавил(-а) тег координатор;
2026-04-29 13:17:52: Екатерина добавил(-а) тег страт-п-с-26-09;
2026-04-29 15:14:21: Екатерина изменил(-а) название на 3.32. Провести проверку битрикс-списка участников с бухреестром</t>
  </si>
  <si>
    <t>3.31. Получить предварительный список подарков спикерам, партнерам</t>
  </si>
  <si>
    <t>31.08.2026 03:00</t>
  </si>
  <si>
    <t>05.09.2026</t>
  </si>
  <si>
    <t>28.04.2026 16:54:10</t>
  </si>
  <si>
    <t>2026-04-28 16:54:10: Екатерина создал(-а) задачу;
2026-04-28 17:23:31: Екатерина изменил(-а) название на 3.34. Получ предварительный список подарков спикерам, партнерам;
2026-04-28 17:23:33: Екатерина изменил(-а) название на 3.34. Получить предварительный список подарков спикерам, партнерам;
2026-04-29 11:22:48: Екатерина изменил(-а) дату на 01.09.2026;
2026-04-29 11:22:51: Екатерина изменил(-а) дату на 01.09.2026 - 04.09.2026;
2026-04-29 11:23:14: Екатерина изменил(-а) дату на 31.08.2026 - 04.09.2026;
2026-04-29 11:23:15: Екатерина изменил(-а) дату на 31.08.2026 - 05.09.2026;
2026-04-29 13:17:42: Екатерина добавил(-а) тег PRO;
2026-04-29 13:17:44: Екатерина добавил(-а) тег координатор;
2026-04-29 13:17:45: Екатерина добавил(-а) тег страт-п-с-26-09;
2026-04-29 15:13:49: Екатерина изменил(-а) название на 3.31. Получить предварительный список подарков спикерам, партнерам</t>
  </si>
  <si>
    <t>3.30. Написать предварительное распределение по точкам и наемным</t>
  </si>
  <si>
    <t>28.04.2026 16:54:03</t>
  </si>
  <si>
    <t>2026-04-28 16:54:04: Екатерина создал(-а) задачу;
2026-04-28 17:23:48: Екатерина изменил(-а) название на 3.33. Написа предварительное распределение по точкам и наемным;
2026-04-28 17:23:53: Екатерина изменил(-а) название на 3.33. Написать предварительное распределение по точкам и наемным;
2026-04-29 11:23:06: Екатерина изменил(-а) дату на 02.09.2026;
2026-04-29 11:23:07: Екатерина изменил(-а) дату на 31.08.2026 - 02.09.2026;
2026-04-29 11:23:09: Екатерина изменил(-а) дату на 31.08.2026 - 05.09.2026;
2026-04-29 13:17:36: Екатерина добавил(-а) тег PRO;
2026-04-29 13:17:39: Екатерина добавил(-а) тег координатор;
2026-04-29 13:17:39: Екатерина добавил(-а) тег страт-п-с-26-09;
2026-04-29 15:13:35: Екатерина изменил(-а) название на 3.30. Написать предварительное распределение по точкам и наемным</t>
  </si>
  <si>
    <t>3.29. Утвердить схему рассадки</t>
  </si>
  <si>
    <t>04.09.2026</t>
  </si>
  <si>
    <t>28.04.2026 16:53:52</t>
  </si>
  <si>
    <t>2026-04-28 16:53:52: Екатерина создал(-а) задачу;
2026-04-28 17:24:06: Екатерина изменил(-а) название на 3.32. Утвердить схема рассадки;
2026-04-28 17:24:10: Екатерина изменил(-а) название на 3.32. Утвердить схему рассадки;
2026-04-29 11:22:58: Екатерина изменил(-а) дату на 01.09.2026;
2026-04-29 11:23:00: Екатерина изменил(-а) дату на 31.08.2026 - 01.09.2026;
2026-04-29 11:23:02: Екатерина изменил(-а) дату на 31.08.2026 - 05.09.2026;
2026-04-29 11:23:04: Екатерина изменил(-а) дату на 31.08.2026 - 04.09.2026;
2026-04-29 12:57:34: Екатерина добавил(-а) тег PRO;
2026-04-29 12:57:37: Екатерина добавил(-а) тег координатор;
2026-04-29 12:57:38: Екатерина добавил(-а) тег страт-п-с-26-09;
2026-04-29 15:13:31: Екатерина изменил(-а) название на 3.29. Утвердить схему рассадки</t>
  </si>
  <si>
    <t>3.28. Провести совещание с продюсером</t>
  </si>
  <si>
    <t>28.04.2026 16:53:42</t>
  </si>
  <si>
    <t>2026-04-28 16:53:42: Екатерина создал(-а) задачу;
2026-04-28 17:24:23: Екатерина изменил(-а) название на 3.31. Провед совещание с продюсером;
2026-04-28 17:24:24: Екатерина изменил(-а) название на 3.31. Прове совещание с продюсером;
2026-04-28 17:24:29: Екатерина изменил(-а) название на 3.31. Провести совещание с продюсером;
2026-04-29 11:22:53: Екатерина изменил(-а) дату на 02.09.2026;
2026-04-29 11:22:55: Екатерина изменил(-а) дату на 31.08.2026 - 02.09.2026;
2026-04-29 11:22:57: Екатерина изменил(-а) дату на 31.08.2026 - 04.09.2026;
2026-04-29 12:57:26: Екатерина добавил(-а) тег PRO;
2026-04-29 12:57:30: Екатерина добавил(-а) тег координатор;
2026-04-29 12:57:31: Екатерина добавил(-а) тег страт-п-с-26-09;
2026-04-29 15:13:27: Екатерина изменил(-а) название на 3.28. Провести совещание с продюсером</t>
  </si>
  <si>
    <t>3.27. Отправить памятку</t>
  </si>
  <si>
    <t>28.04.2026 16:53:29</t>
  </si>
  <si>
    <t>2026-04-28 16:53:30: Екатерина создал(-а) задачу;
2026-04-28 17:24:35: Екатерина изменил(-а) название на 3.30. Отправить памятка;
2026-04-28 17:24:42: Екатерина изменил(-а) название на 3.30. Отправить памятку;
2026-04-29 11:22:33: Екатерина изменил(-а) дату на 02.09.2026;
2026-04-29 11:22:36: Екатерина изменил(-а) дату на 31.08.2026 - 02.09.2026;
2026-04-29 11:22:39: Екатерина изменил(-а) дату на 31.08.2026 - 04.09.2026;
2026-04-29 12:57:19: Екатерина добавил(-а) тег PRO;
2026-04-29 12:57:24: Екатерина добавил(-а) тег координатор;
2026-04-29 12:57:24: Екатерина добавил(-а) тег страт-п-с-26-09;
2026-04-29 15:13:22: Екатерина изменил(-а) название на 3.27. Отправить памятку</t>
  </si>
  <si>
    <t>3.26. Провести проверку битрикс-списка участников с бухреестром</t>
  </si>
  <si>
    <t>28.04.2026 16:53:18</t>
  </si>
  <si>
    <t>2026-04-28 16:53:18: Екатерина создал(-а) задачу;
2026-04-28 17:25:27: Екатерина изменил(-а) название на 3.29. Провести проверка битрикса-списка участников с бухреестром;
2026-04-28 17:25:35: Екатерина изменил(-а) название на 3.29. Провести проверку битрикса-списка участников с бухреестром;
2026-04-28 17:25:37: Екатерина изменил(-а) название на 3.29. Провести проверку битрикс-списка участников с бухреестром;
2026-04-29 11:22:21: Екатерина изменил(-а) дату на 30.08.2026;
2026-04-29 11:22:26: Екатерина изменил(-а) дату на 30.08.2026 - 01.09.2026;
2026-04-29 11:22:28: Екатерина изменил(-а) дату на 31.08.2026 - 01.09.2026;
2026-04-29 11:22:31: Екатерина изменил(-а) дату на 31.08.2026 - 04.09.2026;
2026-04-29 12:57:11: Екатерина добавил(-а) тег PRO;
2026-04-29 12:57:15: Екатерина добавил(-а) тег координатор;
2026-04-29 12:57:15: Екатерина добавил(-а) тег страт-п-с-26-09;
2026-04-29 15:13:18: Екатерина изменил(-а) название на 3.26. Провести проверку битрикс-списка участников с бухреестром</t>
  </si>
  <si>
    <t>3.25. Провести корректировку сметы проведения в зависимости от продаж</t>
  </si>
  <si>
    <t>24.08.2026 03:00</t>
  </si>
  <si>
    <t>27.08.2026</t>
  </si>
  <si>
    <t>28.04.2026 16:53:06</t>
  </si>
  <si>
    <t>2026-04-28 16:53:06: Екатерина создал(-а) задачу;
2026-04-28 17:25:51: Екатерина изменил(-а) название на 3.28. Провести корректировка сметы проведения в зависимости от продаж;
2026-04-28 17:25:52: Екатерина изменил(-а) название на 3.28. Провести корректировку сметы проведения в зависимости от продаж;
2026-04-29 11:22:00: Екатерина изменил(-а) дату на 26.08.2026;
2026-04-29 11:22:02: Екатерина изменил(-а) дату на 24.08.2026 - 26.08.2026;
2026-04-29 11:22:05: Екатерина изменил(-а) дату на 24.08.2026 - 27.08.2026;
2026-04-29 12:57:00: Екатерина добавил(-а) тег PRO;
2026-04-29 12:57:05: Екатерина добавил(-а) тег координатор;
2026-04-29 12:57:05: Екатерина добавил(-а) тег страт-п-с-26-09;
2026-04-29 15:12:49: Екатерина изменил(-а) название на 3.25. Провести корректировку сметы проведения в зависимости от продаж</t>
  </si>
  <si>
    <t>3.24. Подготовить и согласовать памятку участника</t>
  </si>
  <si>
    <t>28.04.2026 16:52:54</t>
  </si>
  <si>
    <t>2026-04-28 16:52:55: Екатерина создал(-а) задачу;
2026-04-28 17:26:13: Екатерина изменил(-а) название на 3.27. Подготовить и согласована памятка участника;
2026-04-28 17:26:16: Екатерина изменил(-а) название на 3.27. Подготовить и согласовать памятка участника;
2026-04-28 17:26:18: Екатерина изменил(-а) название на 3.27. Подготовить и согласовать памятку участника;
2026-04-29 11:21:18: Екатерина изменил(-а) дату на 23.08.2026;
2026-04-29 11:21:53: Екатерина изменил(-а) дату на 23.08.2026 - 27.08.2026;
2026-04-29 11:21:56: Екатерина изменил(-а) дату на 24.08.2026 - 27.08.2026;
2026-04-29 12:56:53: Екатерина добавил(-а) тег PRO;
2026-04-29 12:56:55: Екатерина добавил(-а) тег координатор;
2026-04-29 12:56:56: Екатерина добавил(-а) тег страт-п-с-26-09;
2026-04-29 15:12:45: Екатерина изменил(-а) название на 3.24. Подготовить и согласовать памятку участника</t>
  </si>
  <si>
    <t>3.23. Провести совещание с продюсером</t>
  </si>
  <si>
    <t>28.04.2026 16:52:42</t>
  </si>
  <si>
    <t>2026-04-28 16:52:43: Екатерина создал(-а) задачу;
2026-04-28 17:26:30: Екатерина изменил(-а) название на 3.26. Провести совещание с продюсером;
2026-04-29 11:21:41: Екатерина изменил(-а) дату на 26.08.2026;
2026-04-29 11:21:44: Екатерина изменил(-а) дату на 24.08.2026 - 26.08.2026;
2026-04-29 11:21:46: Екатерина изменил(-а) дату на 24.08.2026 - 27.08.2026;
2026-04-29 12:56:43: Екатерина добавил(-а) тег PRO;
2026-04-29 12:56:48: Екатерина добавил(-а) тег координатор;
2026-04-29 12:56:49: Екатерина добавил(-а) тег страт-п-с-26-09;
2026-04-29 15:12:41: Екатерина изменил(-а) название на 3.23. Провести совещание с продюсером</t>
  </si>
  <si>
    <t>3.22. Провести проверку битрикс-списка участников с бухреестром</t>
  </si>
  <si>
    <t>28.04.2026 16:52:31</t>
  </si>
  <si>
    <t>2026-04-28 16:52:33: Екатерина создал(-а) задачу;
2026-04-28 17:26:46: Екатерина изменил(-а) название на 3.25. Провести проверка битрикса-списка участников с бухреестром;
2026-04-28 17:26:52: Екатерина изменил(-а) название на 3.25. Провести проверку битрикса-списка участников с бухреестром;
2026-04-28 17:26:55: Екатерина изменил(-а) название на 3.25. Провести проверку битрикс-списка участников с бухреестром;
2026-04-29 11:20:43: Екатерина изменил(-а) дату на 21.08.2026;
2026-04-29 11:20:53: Екатерина изменил(-а) дату на 21.08.2026 - 25.08.2026;
2026-04-29 11:21:05: Екатерина изменил(-а) дату на 24.08.2026 - 25.08.2026;
2026-04-29 11:21:09: Екатерина изменил(-а) дату на 24.08.2026 - 27.08.2026;
2026-04-29 12:56:33: Екатерина добавил(-а) тег PRO;
2026-04-29 12:56:39: Екатерина добавил(-а) тег координатор;
2026-04-29 12:56:40: Екатерина добавил(-а) тег страт-п-с-26-09;
2026-04-29 15:12:37: Екатерина изменил(-а) название на 3.22. Провести проверку битрикс-списка участников с бухреестром</t>
  </si>
  <si>
    <t>3.21. Поставить задачу дизайнеру на полиграфию, айдентику по смете</t>
  </si>
  <si>
    <t>17.08.2026 03:00</t>
  </si>
  <si>
    <t>20.08.2026</t>
  </si>
  <si>
    <t>28.04.2026 16:52:06</t>
  </si>
  <si>
    <t>2026-04-28 16:52:07: Екатерина создал(-а) задачу;
2026-04-28 17:27:23: Екатерина изменил(-а) название на 3.23. Поставить задача дизайнеру на полиграфию, альдентику по смете;
2026-04-28 17:27:31: Екатерина изменил(-а) название на 3.23. Поставить задачу дизайнеру на полиграфию, альдентику по смете;
2026-04-28 17:27:33: Екатерина изменил(-а) название на 3.23. Поставить задачу дизайнеру на полиграфию, айдентику по смете;
2026-04-29 10:14:08: Екатерина изменил(-а) дату на 20.08.2026;
2026-04-29 10:14:08: Екатерина изменил(-а) дату на 17.08.2026 - 17.08.2026;
2026-04-29 10:14:11: Екатерина изменил(-а) дату на 17.08.2026 - 20.08.2026;
2026-04-29 12:56:11: Екатерина добавил(-а) тег PRO;
2026-04-29 12:56:16: Екатерина добавил(-а) тег координатор;
2026-04-29 12:56:20: Екатерина добавил(-а) тег страт-п-с-26-09;
2026-04-29 15:12:19: Екатерина изменил(-а) название на 3.21. Поставить задачу дизайнеру на полиграфию, айдентику по смете</t>
  </si>
  <si>
    <t>3.20. Провести совещание с продюсером</t>
  </si>
  <si>
    <t>28.04.2026 16:51:45</t>
  </si>
  <si>
    <t>2026-04-28 16:51:46: Екатерина создал(-а) задачу;
2026-04-28 17:27:47: Екатерина изменил(-а) название на 3.22. Провести совещание продюсером;
2026-04-28 17:27:49: Екатерина изменил(-а) название на 3.22. Провести совещание с продюсером;
2026-04-29 10:14:57: Екатерина изменил(-а) дату на 17.08.2026 - 17.08.2026;
2026-04-29 10:15:00: Екатерина изменил(-а) дату на 17.08.2026 - 20.08.2026;
2026-04-29 12:56:02: Екатерина добавил(-а) тег PRO;
2026-04-29 12:56:05: Екатерина добавил(-а) тег координатор;
2026-04-29 12:56:07: Екатерина добавил(-а) тег страт-п-с-26-09;
2026-04-29 15:12:15: Екатерина изменил(-а) название на 3.20. Провести совещание с продюсером</t>
  </si>
  <si>
    <t>3.19. Провести проверку битрикс-списка участников с бухреестром</t>
  </si>
  <si>
    <t>28.04.2026 16:51:33</t>
  </si>
  <si>
    <t>2026-04-28 16:51:33: Екатерина создал(-а) задачу;
2026-04-28 17:27:59: Екатерина изменил(-а) название на 3.21. Провести проверку битрикс-списка участников с бухреестром;
2026-04-29 10:14:46: Екатерина изменил(-а) дату на 17.08.2026 - 17.08.2026;
2026-04-29 10:14:48: Екатерина изменил(-а) дату на 17.08.2026 - 20.08.2026;
2026-04-29 12:55:54: Екатерина добавил(-а) тег PRO;
2026-04-29 12:55:57: Екатерина добавил(-а) тег координатор;
2026-04-29 12:55:59: Екатерина добавил(-а) тег страт-п-с-26-09;
2026-04-29 15:12:11: Екатерина изменил(-а) название на 3.1. Провести проверку битрикс-списка участников с бухреестром;
2026-04-29 15:12:11: Екатерина изменил(-а) название на 3.19. Провести проверку битрикс-списка участников с бухреестром</t>
  </si>
  <si>
    <t>3.18. Купить билеты всей Рабочей группе</t>
  </si>
  <si>
    <t>10.08.2026 03:00</t>
  </si>
  <si>
    <t>13.08.2026</t>
  </si>
  <si>
    <t>28.04.2026 16:51:09</t>
  </si>
  <si>
    <t>2026-04-28 16:51:09: Екатерина создал(-а) задачу;
2026-04-28 17:08:51: Екатерина изменил(-а) название на 3.19. Купить билеты всей рабочей группе;
2026-04-28 17:08:58: Екатерина изменил(-а) название на 3.19. Купить билеты всей абочей группе;
2026-04-28 17:09:08: Екатерина изменил(-а) название на 3.19. Купить билеты всей Рабочей группе;
2026-04-29 10:13:02: Екатерина изменил(-а) дату на 10.08.2026;
2026-04-29 10:13:04: Екатерина изменил(-а) дату на 10.08.2026 - 10.08.2026;
2026-04-29 10:13:06: Екатерина изменил(-а) дату на 10.08.2026 - 13.08.2026;
2026-04-29 12:55:32: Екатерина добавил(-а) тег PRO;
2026-04-29 12:55:35: Екатерина добавил(-а) тег координатор;
2026-04-29 12:55:37: Екатерина добавил(-а) тег страт-п-с-26-09;
2026-04-29 15:11:54: Екатерина изменил(-а) название на 3.18. Купить билеты всей Рабочей группе</t>
  </si>
  <si>
    <t>3.17. Провести проверку битрикса-списка участников с бухреестром</t>
  </si>
  <si>
    <t>28.04.2026 16:50:57</t>
  </si>
  <si>
    <t>2026-04-28 16:50:57: Екатерина создал(-а) задачу;
2026-04-28 17:08:28: Екатерина изменил(-а) название на 3.18. Про проверка битрикса-списка участников с бухреестром;
2026-04-28 17:08:31: Екатерина изменил(-а) название на 3.18. Провести проверка битрикса-списка участников с бухреестром;
2026-04-28 17:08:33: Екатерина изменил(-а) название на 3.18. Провести проверку битрикса-списка участников с бухреестром;
2026-04-29 10:12:43: Екатерина изменил(-а) дату на 10.08.2026 - 10.08.2026;
2026-04-29 10:12:47: Екатерина изменил(-а) дату на 10.08.2026 - 13.08.2026;
2026-04-29 12:55:14: Екатерина добавил(-а) тег PRO;
2026-04-29 12:55:18: Екатерина добавил(-а) тег координатор;
2026-04-29 12:55:21: Екатерина добавил(-а) тег страт-п-с-26-09;
2026-04-29 15:11:49: Екатерина изменил(-а) название на 3.17. Провести проверку битрикса-списка участников с бухреестром</t>
  </si>
  <si>
    <t>3.16. Провести совещание с продюсером</t>
  </si>
  <si>
    <t>03.08.2026 03:00</t>
  </si>
  <si>
    <t>06.08.2026</t>
  </si>
  <si>
    <t>28.04.2026 16:50:34</t>
  </si>
  <si>
    <t>2026-04-28 16:50:34: Екатерина создал(-а) задачу;
2026-04-28 17:08:02: Екатерина изменил(-а) название на 3.16. Провести совещание с продюсером;
2026-04-29 10:11:37: Екатерина изменил(-а) дату на 03.08.2026;
2026-04-29 10:11:42: Екатерина изменил(-а) дату на 03.08.2026 - 03.08.2026;
2026-04-29 10:11:45: Екатерина изменил(-а) дату на 03.08.2026 - 06.08.2026;
2026-04-29 12:54:54: Екатерина добавил(-а) тег PRO;
2026-04-29 12:54:59: Екатерина добавил(-а) тег координатор;
2026-04-29 12:55:01: Екатерина добавил(-а) тег страт-п-с-26-09</t>
  </si>
  <si>
    <t>3.15. Провести проверку битрикс-списка участников с бухреестром</t>
  </si>
  <si>
    <t>28.04.2026 16:50:26</t>
  </si>
  <si>
    <t>2026-04-28 16:50:26: Екатерина создал(-а) задачу;
2026-04-28 17:07:27: Екатерина изменил(-а) название на 3.15. Провести проверка битрикса-списка участников с бухреестром;
2026-04-28 17:07:36: Екатерина изменил(-а) название на 3.15. Провести проверку битрикса-списка участников с бухреестром;
2026-04-28 17:07:39: Екатерина изменил(-а) название на 3.15. Провести проверку битрикс-списка участников с бухреестром;
2026-04-29 10:11:20: Екатерина изменил(-а) дату на 03.08.2026;
2026-04-29 10:11:22: Екатерина изменил(-а) дату на 03.08.2026 - 03.08.2026;
2026-04-29 10:11:23: Екатерина изменил(-а) дату на 03.08.2026 - 06.08.2026;
2026-04-29 12:54:47: Екатерина добавил(-а) тег PRO;
2026-04-29 12:54:50: Екатерина добавил(-а) тег координатор;
2026-04-29 12:54:51: Екатерина добавил(-а) тег страт-п-с-26-09</t>
  </si>
  <si>
    <t>3.14. Купить билеты части Рабочей группы</t>
  </si>
  <si>
    <t>27.07.2026 03:00</t>
  </si>
  <si>
    <t>30.07.2026</t>
  </si>
  <si>
    <t>28.04.2026 16:50:19</t>
  </si>
  <si>
    <t>2026-04-28 16:50:19: Екатерина создал(-а) задачу;
2026-04-28 17:07:00: Екатерина изменил(-а) название на 3.14. Купить билеты части рабочей группе;
2026-04-28 17:07:14: Екатерина изменил(-а) название на 3.14. Купить билеты части рабочей группы;
2026-04-28 17:07:20: Екатерина изменил(-а) название на 3.14. Купить билеты части Рабочей группы;
2026-04-29 10:10:59: Екатерина изменил(-а) дату на 27.07.2026 - 27.07.2026;
2026-04-29 10:11:01: Екатерина изменил(-а) дату на 27.07.2026 - 30.07.2026;
2026-04-29 12:54:40: Екатерина добавил(-а) тег PRO;
2026-04-29 12:54:42: Екатерина добавил(-а) тег координатор;
2026-04-29 12:54:44: Екатерина добавил(-а) тег страт-п-с-26-09</t>
  </si>
  <si>
    <t>3.13. Проверить заполнение битрикса на старте продаж</t>
  </si>
  <si>
    <t>28.04.2026 16:50:08</t>
  </si>
  <si>
    <t>2026-04-28 16:50:09: Екатерина создал(-а) задачу;
2026-04-28 17:06:44: Екатерина изменил(-а) название на 3.13. Проверить заполнения битрикса на старте продаж;
2026-04-28 17:06:47: Екатерина изменил(-а) название на 3.13. Проверить заполнение битрикса на старте продаж;
2026-04-29 10:10:37: Екатерина изменил(-а) дату на 27.07.2026;
2026-04-29 10:10:46: Екатерина изменил(-а) дату на 27.07.2026 - 27.07.2026;
2026-04-29 10:10:46: Екатерина изменил(-а) дату на 27.07.2026 - 30.07.2026;
2026-04-29 11:10:31: Екатерина добавил(-а) тег PRO;
2026-04-29 12:54:35: Екатерина добавил(-а) тег координатор;
2026-04-29 12:54:36: Екатерина добавил(-а) тег страт-п-с-26-09</t>
  </si>
  <si>
    <t>3.12. Забронировать проживание</t>
  </si>
  <si>
    <t>22.06.2026 03:00</t>
  </si>
  <si>
    <t>25.06.2026</t>
  </si>
  <si>
    <t>28.04.2026 16:49:55</t>
  </si>
  <si>
    <t>PRE, координатор, страт-п-с-26-09</t>
  </si>
  <si>
    <t>2026-04-28 16:49:56: Екатерина создал(-а) задачу;
2026-04-28 17:06:20: Екатерина изменил(-а) название на 3.12. Забронировать проживание;
2026-04-29 10:10:12: Екатерина изменил(-а) дату на 22.06.2026 - 22.06.2026;
2026-04-29 10:10:14: Екатерина изменил(-а) дату на 22.06.2026 - 25.06.2026;
2026-04-29 12:54:20: Екатерина добавил(-а) тег PRE;
2026-04-29 12:54:23: Екатерина добавил(-а) тег координатор;
2026-04-29 12:54:25: Екатерина добавил(-а) тег страт-п-с-26-09</t>
  </si>
  <si>
    <t>3.11. Провести совещание с продюсером</t>
  </si>
  <si>
    <t>28.04.2026 16:49:44</t>
  </si>
  <si>
    <t>2026-04-28 16:49:44: Екатерина создал(-а) задачу;
2026-04-28 17:06:03: Екатерина изменил(-а) название на 3.11. Прове совещание с продюсером;
2026-04-28 17:06:04: Екатерина изменил(-а) название на 3.11. Провести совещание с продюсером;
2026-04-29 10:09:53: Екатерина изменил(-а) дату на 22.06.2026;
2026-04-29 10:09:55: Екатерина изменил(-а) дату на 22.06.2026 - 22.06.2026;
2026-04-29 10:09:56: Екатерина изменил(-а) дату на 22.06.2026 - 25.06.2026;
2026-04-29 12:54:13: Екатерина добавил(-а) тег PRE;
2026-04-29 12:54:16: Екатерина добавил(-а) тег координатор;
2026-04-29 12:54:17: Екатерина добавил(-а) тег страт-п-с-26-09</t>
  </si>
  <si>
    <t>3.10. Согласовать с ШП Рабочую группу на площадке и Смету расходов</t>
  </si>
  <si>
    <t>15.06.2026 03:00</t>
  </si>
  <si>
    <t>18.06.2026</t>
  </si>
  <si>
    <t>28.04.2026 16:49:31</t>
  </si>
  <si>
    <t>2026-04-28 16:49:32: Екатерина создал(-а) задачу;
2026-04-29 10:09:35: Екатерина изменил(-а) дату на 15.06.2026;
2026-04-29 10:09:38: Екатерина изменил(-а) дату на 15.06.2026 - 15.06.2026;
2026-04-29 10:09:38: Екатерина изменил(-а) дату на 15.06.2026 - 18.06.2026;
2026-04-29 12:54:08: Екатерина добавил(-а) тег PRE;
2026-04-29 12:54:09: Екатерина добавил(-а) тег координатор;
2026-04-29 12:54:11: Екатерина добавил(-а) тег страт-п-с-26-09</t>
  </si>
  <si>
    <t>3.09. Составить Рабочую группу на мероприятие: 
Кто едет
как едет
где живет</t>
  </si>
  <si>
    <t>08.06.2026 03:00</t>
  </si>
  <si>
    <t>11.06.2026</t>
  </si>
  <si>
    <t>28.04.2026 16:48:26</t>
  </si>
  <si>
    <t>2026-04-28 16:48:27: Екатерина создал(-а) задачу;
2026-04-28 17:11:28: Екатерина изменил(-а) название на 3.09. Составлена рабочая группа на мероприятие: 
Кто едет
как едет
где живет;
2026-04-28 17:11:41: Екатерина изменил(-а) название на 3.09. Составитьа рабочая группа на мероприятие: 
Кто едет
как едет
где живет;
2026-04-28 17:11:45: Екатерина изменил(-а) название на 3.09. Составить рабочая группа на мероприятие: 
Кто едет
как едет
где живет;
2026-04-28 17:11:47: Екатерина изменил(-а) название на 3.09. Составить Рабочая группа на мероприятие: 
Кто едет
как едет
где живет;
2026-04-28 17:11:56: Екатерина изменил(-а) название на 3.09. Составить Рабочую группа на мероприятие: 
Кто едет
как едет
где живет;
2026-04-28 17:11:57: Екатерина изменил(-а) название на 3.09. Составить Рабочую группу на мероприятие: 
Кто едет
как едет
где живет;
2026-04-29 10:08:36: Екатерина изменил(-а) дату на 08.06.2026;
2026-04-29 10:08:39: Екатерина изменил(-а) дату на 08.06.2026 - 08.06.2026;
2026-04-29 10:08:39: Екатерина изменил(-а) дату на 08.06.2026 - 11.06.2026;
2026-04-29 12:54:00: Екатерина добавил(-а) тег PRE;
2026-04-29 12:54:03: Екатерина добавил(-а) тег координатор;
2026-04-29 12:54:04: Екатерина добавил(-а) тег страт-п-с-26-09</t>
  </si>
  <si>
    <t>3.08. Настроить и проверить  воронку в битриксе</t>
  </si>
  <si>
    <t>28.04.2026 16:48:24</t>
  </si>
  <si>
    <t>2026-04-28 16:48:25: Екатерина создал(-а) задачу;
2026-04-28 17:12:08: Екатерина изменил(-а) название на 3.08. Настроена и проверена воронка в битриксе;
2026-04-28 17:12:12: Екатерина изменил(-а) название на 3.08. Настроить и проверена воронка в битриксе;
2026-04-28 17:12:15: Екатерина изменил(-а) название на 3.08. Настроить и проверить воронка в битриксе;
2026-04-28 17:12:18: Екатерина изменил(-а) название на 3.08. Настроить и проверить воронку в битриксе;
2026-04-29 10:08:16: Екатерина изменил(-а) дату на 08.06.2026;
2026-04-29 10:08:19: Екатерина изменил(-а) дату на 08.06.2026 - 08.06.2026;
2026-04-29 10:08:20: Екатерина изменил(-а) дату на 08.06.2026 - 11.06.2026;
2026-04-29 12:53:53: Екатерина добавил(-а) тег PRE;
2026-04-29 12:53:55: Екатерина добавил(-а) тег координатор;
2026-04-29 12:53:57: Екатерина добавил(-а) тег страт-п-с-26-09</t>
  </si>
  <si>
    <t>3.07. Провести совещание с продюсером</t>
  </si>
  <si>
    <t>28.04.2026 16:48:06</t>
  </si>
  <si>
    <t>2026-04-28 16:48:07: Екатерина создал(-а) задачу;
2026-04-28 17:12:33: Екатерина изменил(-а) название на 3.07. Проведено совещание с продюсером;
2026-04-28 17:12:36: Екатерина изменил(-а) название на 3.07. Провести совещание с продюсером;
2026-04-29 10:07:58: Екатерина изменил(-а) дату на 01.06.2026;
2026-04-29 10:07:59: Екатерина изменил(-а) дату на 01.06.2026 - 01.06.2026;
2026-04-29 10:08:00: Екатерина изменил(-а) дату на 01.06.2026 - 04.06.2026;
2026-04-29 12:53:45: Екатерина добавил(-а) тег PRE;
2026-04-29 12:53:48: Екатерина добавил(-а) тег координатор;
2026-04-29 12:53:49: Екатерина добавил(-а) тег страт-п-с-26-09</t>
  </si>
  <si>
    <t>3.06. Провести работу с площадкой: отрисовка, оборудование, питание, проживание (если гостиница)</t>
  </si>
  <si>
    <t>28.04.2026 16:48:00</t>
  </si>
  <si>
    <t>2026-04-28 16:48:00: Екатерина создал(-а) задачу;
2026-04-28 17:18:00: Екатерина изменил(-а) название на 3.06. Проведена работа с площадкой: отрисовка, оборудование, питание, проживание (если гостиница);
2026-04-29 10:07:42: Екатерина изменил(-а) дату на 01.06.2026;
2026-04-29 10:07:45: Екатерина изменил(-а) дату на 01.06.2026 - 01.06.2026;
2026-04-29 10:07:47: Екатерина изменил(-а) дату на 01.06.2026 - 04.06.2026;
2026-04-29 10:34:46: Екатерина изменил(-а) название на 3.06. Провести работа с площадкой: отрисовка, оборудование, питание, проживание (если гостиница);
2026-04-29 10:34:48: Екатерина изменил(-а) название на 3.06. Провести работу с площадкой: отрисовка, оборудование, питание, проживание (если гостиница);
2026-04-29 12:53:34: Екатерина добавил(-а) тег PRE;
2026-04-29 12:53:37: Екатерина добавил(-а) тег координатор;
2026-04-29 12:53:39: Екатерина добавил(-а) тег страт-п-с-26-09</t>
  </si>
  <si>
    <t>3.05. Утвердить площадку и смету</t>
  </si>
  <si>
    <t>28.04.2026 16:47:54</t>
  </si>
  <si>
    <t>2026-04-28 16:47:54: Екатерина создал(-а) задачу;
2026-04-28 17:17:32: Екатерина изменил(-а) название на 3.0-5. Площадка и смета утверждена;
2026-04-28 17:17:39: Екатерина изменил(-а) название на 3.05. Площадка и смета утверждена;
2026-04-29 10:07:03: Екатерина изменил(-а) дату на 01.06.2026;
2026-04-29 10:07:05: Екатерина изменил(-а) дату на 01.06.2026 - 01.06.2026;
2026-04-29 10:07:06: Екатерина изменил(-а) дату на 01.06.2026 - 04.06.2026;
2026-04-29 10:34:05: Екатерина изменил(-а) название на 3.05. УтверПлощадка и смета утверждена;
2026-04-29 10:34:07: Екатерина изменил(-а) название на 3.05. Утвердить Площадка и смета утверждена;
2026-04-29 10:34:09: Екатерина изменил(-а) название на 3.05. Утвердить площадка и смета утверждена;
2026-04-29 10:34:11: Екатерина изменил(-а) название на 3.05. Утвердить площадку и смета утверждена;
2026-04-29 10:34:13: Екатерина изменил(-а) название на 3.05. Утвердить площадку и смету утверждена;
2026-04-29 10:34:16: Екатерина изменил(-а) название на 3.05. Утвердить площадку и смету;
2026-04-29 12:53:26: Екатерина добавил(-а) тег PRE;
2026-04-29 12:53:28: Екатерина добавил(-а) тег координатор;
2026-04-29 12:53:30: Екатерина добавил(-а) тег страт-п-с-26-09</t>
  </si>
  <si>
    <t>3.04. Проверить пакеты на возможность реализации на площадке</t>
  </si>
  <si>
    <t>25.05.2026 03:00</t>
  </si>
  <si>
    <t>28.05.2026</t>
  </si>
  <si>
    <t>28.04.2026 16:47:38</t>
  </si>
  <si>
    <t>2026-04-28 16:47:38: Екатерина создал(-а) задачу;
2026-04-28 17:19:50: Екатерина изменил(-а) название на 3.04. Проверка пакетов на возможность реализации на площадке;
2026-04-28 17:21:06: Екатерина изменил(-а) название на 3.04. Проверить пакетов на возможность реализации на площадке;
2026-04-28 17:21:10: Екатерина изменил(-а) название на 3.04. Проверить пакеты на возможность реализации на площадке;
2026-04-29 10:06:51: Екатерина изменил(-а) дату на 25.05.2026 - 25.05.2026;
2026-04-29 10:06:52: Екатерина изменил(-а) дату на 25.05.2026 - 28.05.2026;
2026-04-29 12:53:14: Екатерина добавил(-а) тег PRE;
2026-04-29 12:53:19: Екатерина добавил(-а) тег координатор;
2026-04-29 12:53:21: Екатерина добавил(-а) тег страт-п-с-26-09</t>
  </si>
  <si>
    <t>3.03. Сформировать смету прямых расходов - сделать предварительный расчет стоимости мероприятия</t>
  </si>
  <si>
    <t>28.04.2026 16:47:36</t>
  </si>
  <si>
    <t>2026-04-28 16:47:36: Екатерина создал(-а) задачу;
2026-04-28 17:19:36: Екатерина изменил(-а) название на 3.03. Сформирована смета прямых расходов - сделан предварительный расчет стоимости мероприятия;
2026-04-28 17:25:00: Екатерина изменил(-а) название на 3.03. Сформировать смета прямых расходов - сделан предварительный расчет стоимости мероприятия;
2026-04-28 17:25:08: Екатерина изменил(-а) название на 3.03. Сформировать смету прямых расходов - сделан предварительный расчет стоимости мероприятия;
2026-04-28 17:25:10: Екатерина изменил(-а) название на 3.03. Сформировать смету прямых расходов - сделать предварительный расчет стоимости мероприятия;
2026-04-29 10:06:39: Екатерина изменил(-а) дату на 25.05.2026;
2026-04-29 10:06:42: Екатерина изменил(-а) дату на 25.05.2026 - 25.05.2026;
2026-04-29 10:06:43: Екатерина изменил(-а) дату на 25.05.2026 - 28.05.2026;
2026-04-29 12:53:04: Екатерина добавил(-а) тег PRE;
2026-04-29 12:53:07: Екатерина добавил(-а) тег координатор;
2026-04-29 12:53:10: Екатерина добавил(-а) тег страт-п-с-26-09</t>
  </si>
  <si>
    <t>3.02. Подготовить таблицу возможных мест проведения, составить предварительную смету площадки</t>
  </si>
  <si>
    <t>28.04.2026 16:47:27</t>
  </si>
  <si>
    <t>2026-04-28 16:47:27: Екатерина создал(-а) задачу;
2026-04-28 17:10:28: Екатерина изменил(-а) название на 3.02. Подготовлена таблица возможных мест проведения, составлена предварительная смета площадки;
2026-04-29 10:06:25: Екатерина изменил(-а) дату на 25.05.2026;
2026-04-29 10:06:26: Екатерина изменил(-а) дату на 25.05.2026 - 25.05.2026;
2026-04-29 10:06:29: Екатерина изменил(-а) дату на 25.05.2026 - 28.05.2026;
2026-04-29 10:33:41: Екатерина изменил(-а) название на 3.02. Подготовить таблица возможных мест проведения, составлена предварительная смета площадки;
2026-04-29 10:33:44: Екатерина изменил(-а) название на 3.02. Подготовить таблицц возможных мест проведения, составлена предварительная смета площадки;
2026-04-29 10:33:45: Екатерина изменил(-а) название на 3.02. Подготовить таблицу возможных мест проведения, составлена предварительная смета площадки;
2026-04-29 10:33:50: Екатерина изменил(-а) название на 3.02. Подготовить таблицу возможных мест проведения, составить предварительная смета площадки;
2026-04-29 10:33:53: Екатерина изменил(-а) название на 3.02. Подготовить таблицу возможных мест проведения, составить предварительную смета площадки;
2026-04-29 10:33:56: Екатерина изменил(-а) название на 3.02. Подготовить таблицу возможных мест проведения, составить предварительную смету площадки;
2026-04-29 12:52:52: Екатерина добавил(-а) тег PRE;
2026-04-29 12:52:57: Екатерина добавил(-а) тег координатор;
2026-04-29 12:52:59: Екатерина добавил(-а) тег страт-п-с-26-09</t>
  </si>
  <si>
    <t>3.01. Получить вводные на Первичном совещании</t>
  </si>
  <si>
    <t>28.04.2026 16:46:48</t>
  </si>
  <si>
    <t>2026-04-28 16:46:49: Екатерина создал(-а) задачу;
2026-04-28 17:16:49: Екатерина изменил(-а) название на 3.01. Получить вводные на Первичном совещании;
2026-04-28 19:28:25: Екатерина добавил(-а) тег PRE;
2026-04-29 09:59:46: Екатерина добавил(-а) тег координатор;
2026-04-29 09:59:57: Екатерина добавил(-а) тег страт-п-с-26-09;
2026-04-29 10:01:54: Екатерина изменил(-а) дату на 18.05.2026;
2026-04-29 10:01:57: Екатерина изменил(-а) дату на 21.05.2026;
2026-04-29 10:01:58: Екатерина изменил(-а) дату на 18.05.2026;
2026-04-29 10:02:00: Екатерина изменил(-а) дату на 18.05.2026 - 18.05.2026;
2026-04-29 10:02:01: Екатерина изменил(-а) дату на 18.05.2026 - 21.05.2026;
2026-04-29 10:02:06: Екатерина изменил(-а) дату на 21.05.2026 - 21.05.2026;
2026-04-29 10:02:13: Екатерина изменил(-а) дату на 18.05.2026 - 21.05.2026;
2026-04-29 10:07:15: Екатерина изменил(-а) дату на 19.05.2026 - 21.05.2026;
2026-04-29 10:07:21: Екатерина изменил(-а) дату на 18.05.2026 - 21.05.2026;
2026-04-29 10:07:24: Екатерина изменил(-а) дату на 18.05.2026 - 19.05.2026</t>
  </si>
  <si>
    <t>2.60. Подготовить отчет для Заказчика</t>
  </si>
  <si>
    <t>28.04.2026 16:25:18</t>
  </si>
  <si>
    <t>POST, Продюсер, страт-п-с-26-09</t>
  </si>
  <si>
    <t>2026-04-28 16:25:18: Екатерина создал(-а) задачу;
2026-04-28 19:28:10: Екатерина добавил(-а) тег POST;
2026-04-29 10:18:52: Екатерина изменил(-а) дату на 28.09.2026 - 28.09.2026;
2026-04-29 10:18:54: Екатерина изменил(-а) дату на 28.09.2026 - 01.10.2026;
2026-04-29 11:09:35: Екатерина добавил(-а) тег страт-п-с-26-09;
2026-04-29 11:09:35: Екатерина добавил(-а) тег Продюсер;
2026-04-30 14:54:54: Екатерина убрал(-а) тег страт-п-с-26-09;
2026-04-30 14:55:02: Екатерина добавил(-а) тег страт-п-с-26-09</t>
  </si>
  <si>
    <t>2.59. Провести итоговое совещание по проекту</t>
  </si>
  <si>
    <t>28.04.2026 16:25:09</t>
  </si>
  <si>
    <t>2026-04-28 16:25:09: Екатерина создал(-а) задачу;
2026-04-28 19:28:07: Екатерина добавил(-а) тег POST;
2026-04-29 10:18:40: Екатерина изменил(-а) дату на 28.09.2026 - 28.09.2026;
2026-04-29 10:18:42: Екатерина изменил(-а) дату на 28.09.2026 - 01.10.2026;
2026-04-29 11:09:29: Екатерина добавил(-а) тег страт-п-с-26-09;
2026-04-29 11:09:30: Екатерина добавил(-а) тег Продюсер;
2026-04-30 14:54:43: Екатерина убрал(-а) тег страт-п-с-26-09;
2026-04-30 14:54:46: Екатерина добавил(-а) тег страт-п-с-26-09</t>
  </si>
  <si>
    <t>2.58. Подготовить и разослать пострелиз с фотографиями</t>
  </si>
  <si>
    <t>28.04.2026 16:24:59</t>
  </si>
  <si>
    <t>2026-04-28 16:25:00: Екатерина создал(-а) задачу;
2026-04-28 19:28:03: Екатерина добавил(-а) тег POST;
2026-04-29 10:18:28: Екатерина изменил(-а) дату на 28.09.2026 - 28.09.2026;
2026-04-29 10:18:29: Екатерина изменил(-а) дату на 28.09.2026 - 01.10.2026;
2026-04-29 11:09:25: Екатерина добавил(-а) тег страт-п-с-26-09;
2026-04-29 11:09:26: Екатерина добавил(-а) тег Продюсер;
2026-04-30 14:54:33: Екатерина убрал(-а) тег страт-п-с-26-09;
2026-04-30 14:54:36: Екатерина добавил(-а) тег страт-п-с-26-09</t>
  </si>
  <si>
    <t>2.57. Отправить благодарности спикерам</t>
  </si>
  <si>
    <t>28.04.2026 16:24:49</t>
  </si>
  <si>
    <t>2026-04-28 16:24:50: Екатерина создал(-а) задачу;
2026-04-28 19:27:57: Екатерина добавил(-а) тег POST;
2026-04-29 10:17:50: Екатерина изменил(-а) дату на 28.09.2026 - 28.09.2026;
2026-04-29 10:17:52: Екатерина изменил(-а) дату на 28.09.2026 - 01.10.2026;
2026-04-29 11:09:20: Екатерина добавил(-а) тег страт-п-с-26-09;
2026-04-29 11:09:21: Екатерина добавил(-а) тег Продюсер;
2026-04-30 14:54:22: Екатерина убрал(-а) тег страт-п-с-26-09;
2026-04-30 14:54:25: Екатерина добавил(-а) тег страт-п-с-26-09</t>
  </si>
  <si>
    <t>2.56. Подготовить отчет к Итоговому совещанию для рабочей группы</t>
  </si>
  <si>
    <t>28.04.2026 16:24:39</t>
  </si>
  <si>
    <t>2026-04-28 16:24:40: Екатерина создал(-а) задачу;
2026-04-28 19:27:54: Екатерина добавил(-а) тег POST;
2026-04-29 10:17:08: Екатерина изменил(-а) дату на 28.09.2026;
2026-04-29 10:17:09: Екатерина изменил(-а) дату на 01.10.2026;
2026-04-29 10:17:15: Екатерина изменил(-а) дату на 28.09.2026 - 01.10.2026;
2026-04-29 11:09:10: Екатерина добавил(-а) тег страт-п-с-26-09;
2026-04-29 11:09:11: Екатерина добавил(-а) тег Продюсер;
2026-04-30 14:54:01: Екатерина убрал(-а) тег страт-п-с-26-09;
2026-04-30 14:54:03: Екатерина добавил(-а) тег страт-п-с-26-09</t>
  </si>
  <si>
    <t>2.55. Провести вручение подарков</t>
  </si>
  <si>
    <t>24.09.2026 03:00</t>
  </si>
  <si>
    <t>28.04.2026 16:24:29</t>
  </si>
  <si>
    <t>D, Продюсер, страт-п-с-26-09</t>
  </si>
  <si>
    <t>2026-04-28 16:24:29: Екатерина создал(-а) задачу;
2026-04-28 19:27:37: Екатерина добавил(-а) тег D;
2026-04-29 10:16:33: Екатерина изменил(-а) дату на 24.09.2026;
2026-04-29 10:16:34: Екатерина изменил(-а) дату на 24.09.2026 - 24.09.2026;
2026-04-29 11:09:05: Екатерина добавил(-а) тег страт-п-с-26-09;
2026-04-29 11:09:06: Екатерина добавил(-а) тег Продюсер;
2026-04-30 14:53:46: Екатерина убрал(-а) тег страт-п-с-26-09;
2026-04-30 14:53:48: Екатерина добавил(-а) тег страт-п-с-26-09</t>
  </si>
  <si>
    <t>2.54. Провести модерацию мероприятия</t>
  </si>
  <si>
    <t>28.04.2026 16:24:19</t>
  </si>
  <si>
    <t>2026-04-28 16:24:20: Екатерина создал(-а) задачу;
2026-04-28 19:27:34: Екатерина добавил(-а) тег D;
2026-04-29 10:16:18: Екатерина изменил(-а) дату на 24.09.2026;
2026-04-29 10:16:20: Екатерина изменил(-а) дату на 24.09.2026 - 24.09.2026;
2026-04-29 11:08:59: Екатерина добавил(-а) тег страт-п-с-26-09;
2026-04-29 11:09:01: Екатерина добавил(-а) тег Продюсер;
2026-04-30 14:53:30: Екатерина убрал(-а) тег страт-п-с-26-09;
2026-04-30 14:53:38: Екатерина добавил(-а) тег страт-п-с-26-09</t>
  </si>
  <si>
    <t>2.53. Провести встречу спикеров на площадке мероприятия</t>
  </si>
  <si>
    <t>28.04.2026 16:24:08</t>
  </si>
  <si>
    <t>2026-04-28 16:24:08: Екатерина создал(-а) задачу;
2026-04-28 19:27:29: Екатерина добавил(-а) тег D;
2026-04-29 10:15:56: Екатерина изменил(-а) дату на 24.09.2026;
2026-04-29 10:16:00: Екатерина изменил(-а) дату на 24.09.2026 - 24.09.2026;
2026-04-29 11:08:46: Екатерина добавил(-а) тег страт-п-с-26-09;
2026-04-29 11:08:47: Екатерина добавил(-а) тег Продюсер;
2026-04-30 14:53:22: Екатерина убрал(-а) тег страт-п-с-26-09;
2026-04-30 14:53:24: Екатерина добавил(-а) тег страт-п-с-26-09</t>
  </si>
  <si>
    <t>2.52. Подготовить Папку модератора</t>
  </si>
  <si>
    <t>28.04.2026 16:23:59</t>
  </si>
  <si>
    <t>PRO, Продюсер, страт-п-с-26-09</t>
  </si>
  <si>
    <t>2026-04-28 16:23:59: Екатерина создал(-а) задачу;
2026-04-29 09:54:07: Екатерина добавил(-а) тег PRO;
2026-04-29 11:00:16: Екатерина изменил(-а) дату на 14.09.2026;
2026-04-29 11:00:19: Екатерина изменил(-а) дату на 14.09.2026 - 17.09.2026;
2026-04-29 11:08:41: Екатерина добавил(-а) тег страт-п-с-26-09;
2026-04-29 11:08:43: Екатерина добавил(-а) тег Продюсер;
2026-04-30 14:53:10: Екатерина убрал(-а) тег страт-п-с-26-09;
2026-04-30 14:53:12: Екатерина добавил(-а) тег страт-п-с-26-09</t>
  </si>
  <si>
    <t>2.51. Подготовить  таблицу спикеров, списки с подарками для спикеров</t>
  </si>
  <si>
    <t>28.04.2026 16:23:46</t>
  </si>
  <si>
    <t>2026-04-28 16:23:46: Екатерина создал(-а) задачу;
2026-04-29 09:54:10: Екатерина добавил(-а) тег PRO;
2026-04-29 11:00:30: Екатерина изменил(-а) дату на 14.09.2026;
2026-04-29 11:00:34: Екатерина изменил(-а) дату на 14.09.2026 - 17.09.2026;
2026-04-29 11:08:35: Екатерина добавил(-а) тег страт-п-с-26-09;
2026-04-29 11:08:37: Екатерина добавил(-а) тег Продюсер;
2026-04-30 14:52:58: Екатерина убрал(-а) тег страт-п-с-26-09;
2026-04-30 14:53:01: Екатерина добавил(-а) тег страт-п-с-26-09</t>
  </si>
  <si>
    <t>2.50. Получить не менее чем от 90-100% спикеров их презентации по шаблону КВК</t>
  </si>
  <si>
    <t>28.04.2026 16:22:47</t>
  </si>
  <si>
    <t>2026-04-28 16:22:47: Екатерина создал(-а) задачу;
2026-04-29 09:54:15: Екатерина добавил(-а) тег PRO;
2026-04-29 11:00:26: Екатерина изменил(-а) дату на 14.09.2026;
2026-04-29 11:00:30: Екатерина изменил(-а) дату на 14.09.2026 - 17.09.2026;
2026-04-29 11:08:30: Екатерина добавил(-а) тег страт-п-с-26-09;
2026-04-29 11:08:31: Екатерина добавил(-а) тег Продюсер;
2026-04-30 14:52:45: Екатерина убрал(-а) тег страт-п-с-26-09;
2026-04-30 14:52:49: Екатерина добавил(-а) тег страт-п-с-26-09</t>
  </si>
  <si>
    <t>2.49. Провести сверку на условие 100% спикеров подтвердились</t>
  </si>
  <si>
    <t>28.04.2026 16:22:30</t>
  </si>
  <si>
    <t>2026-04-28 16:22:31: Екатерина создал(-а) задачу;
2026-04-29 09:54:19: Екатерина добавил(-а) тег PRO;
2026-04-29 10:58:23: Екатерина изменил(-а) дату на 10.09.2026;
2026-04-29 11:00:07: Екатерина изменил(-а) дату на 14.09.2026;
2026-04-29 11:00:08: Екатерина изменил(-а) дату на 14.09.2026 - 17.09.2026;
2026-04-29 11:08:24: Екатерина добавил(-а) тег страт-п-с-26-09;
2026-04-29 11:08:27: Екатерина добавил(-а) тег Продюсер;
2026-04-30 14:52:29: Екатерина убрал(-а) тег страт-п-с-26-09;
2026-04-30 14:52:33: Екатерина добавил(-а) тег страт-п-с-26-09</t>
  </si>
  <si>
    <t>2.48. Подготовить и провести Прогон</t>
  </si>
  <si>
    <t>28.04.2026 16:22:21</t>
  </si>
  <si>
    <t>2026-04-28 16:22:21: Екатерина создал(-а) задачу;
2026-04-29 09:54:48: Екатерина добавил(-а) тег PRO;
2026-04-29 10:59:17: Екатерина изменил(-а) дату на 10.09.2026;
2026-04-29 10:59:24: Екатерина изменил(-а) дату на 10.09.2026 - 13.09.2026;
2026-04-29 10:59:50: Екатерина изменил(-а) дату на 14.09.2026 - 16.09.2026;
2026-04-29 10:59:54: Екатерина изменил(-а) дату на 14.09.2026 - 17.09.2026;
2026-04-29 11:08:15: Екатерина добавил(-а) тег страт-п-с-26-09;
2026-04-29 11:08:15: Екатерина добавил(-а) тег Продюсер;
2026-04-30 14:52:15: Екатерина убрал(-а) тег страт-п-с-26-09;
2026-04-30 14:52:21: Екатерина добавил(-а) тег страт-п-с-26-09</t>
  </si>
  <si>
    <t>2.47. Проверить Рабочую тетрадь</t>
  </si>
  <si>
    <t>28.04.2026 16:22:10</t>
  </si>
  <si>
    <t>2026-04-28 16:22:11: Екатерина создал(-а) задачу;
2026-04-29 09:54:22: Екатерина добавил(-а) тег PRO;
2026-04-29 10:55:57: Екатерина изменил(-а) дату на 07.09.2026 - 07.09.2026;
2026-04-29 10:55:57: Екатерина изменил(-а) дату на 07.09.2026 - 10.09.2026;
2026-04-29 11:08:08: Екатерина добавил(-а) тег страт-п-с-26-09;
2026-04-29 11:08:09: Екатерина добавил(-а) тег Продюсер;
2026-04-30 14:52:03: Екатерина убрал(-а) тег страт-п-с-26-09;
2026-04-30 14:52:12: Екатерина добавил(-а) тег страт-п-с-26-09</t>
  </si>
  <si>
    <t>2.46. Подготовить и сдать координатору таблицу спикеров с подарками</t>
  </si>
  <si>
    <t>28.04.2026 16:22:00</t>
  </si>
  <si>
    <t>2026-04-28 16:22:00: Екатерина создал(-а) задачу;
2026-04-29 09:54:43: Екатерина добавил(-а) тег PRO;
2026-04-29 10:58:14: Екатерина изменил(-а) дату на 08.09.2026;
2026-04-29 10:58:17: Екатерина изменил(-а) дату на 07.09.2026 - 08.09.2026;
2026-04-29 10:58:18: Екатерина изменил(-а) дату на 07.09.2026 - 10.09.2026;
2026-04-29 11:08:03: Екатерина добавил(-а) тег страт-п-с-26-09;
2026-04-29 11:08:03: Екатерина добавил(-а) тег Продюсер;
2026-04-30 14:51:50: Екатерина убрал(-а) тег страт-п-с-26-09;
2026-04-30 14:51:55: Екатерина добавил(-а) тег страт-п-с-26-09</t>
  </si>
  <si>
    <t>2.45. Получить не менее чем от 80% спикеров их презентации по шаблону КВК</t>
  </si>
  <si>
    <t>28.04.2026 16:21:50</t>
  </si>
  <si>
    <t>2026-04-28 16:21:50: Екатерина создал(-а) задачу;
2026-04-29 09:54:40: Екатерина добавил(-а) тег PRO;
2026-04-29 10:57:39: Екатерина изменил(-а) дату на 08.09.2026;
2026-04-29 10:57:42: Екатерина изменил(-а) дату на 07.09.2026 - 08.09.2026;
2026-04-29 10:58:23: Екатерина изменил(-а) дату на 07.09.2026 - 10.09.2026;
2026-04-29 11:07:57: Екатерина добавил(-а) тег страт-п-с-26-09;
2026-04-29 11:07:57: Екатерина добавил(-а) тег Продюсер;
2026-04-30 14:51:42: Екатерина убрал(-а) тег страт-п-с-26-09;
2026-04-30 14:51:45: Екатерина добавил(-а) тег страт-п-с-26-09</t>
  </si>
  <si>
    <t>2.44. Проверить согласование рассылок с Лидгеном</t>
  </si>
  <si>
    <t>28.04.2026 16:21:39</t>
  </si>
  <si>
    <t>2026-04-28 16:21:39: Екатерина создал(-а) задачу;
2026-04-29 09:54:37: Екатерина добавил(-а) тег PRO;
2026-04-29 10:57:27: Екатерина изменил(-а) дату на 08.09.2026;
2026-04-29 10:57:34: Екатерина изменил(-а) дату на 07.09.2026 - 08.09.2026;
2026-04-29 10:57:37: Екатерина изменил(-а) дату на 07.09.2026 - 10.09.2026;
2026-04-29 11:07:51: Екатерина добавил(-а) тег страт-п-с-26-09;
2026-04-29 11:07:51: Екатерина добавил(-а) тег Продюсер;
2026-04-30 14:51:32: Екатерина убрал(-а) тег страт-п-с-26-09;
2026-04-30 14:51:33: Екатерина добавил(-а) тег страт-п-с-26-09</t>
  </si>
  <si>
    <t>2.43. Подписать со спикерами не менее 90%  договоров</t>
  </si>
  <si>
    <t>28.04.2026 16:21:29</t>
  </si>
  <si>
    <t>2026-04-28 16:21:30: Екатерина создал(-а) задачу;
2026-04-29 09:54:33: Екатерина добавил(-а) тег PRO;
2026-04-29 10:56:51: Екатерина изменил(-а) дату на 07.09.2026;
2026-04-29 10:56:55: Екатерина изменил(-а) дату на 08.09.2026;
2026-04-29 10:57:23: Екатерина изменил(-а) дату на 08.09.2026 - 10.09.2026;
2026-04-29 10:57:25: Екатерина изменил(-а) дату на 07.09.2026 - 10.09.2026;
2026-04-29 11:07:45: Екатерина добавил(-а) тег страт-п-с-26-09;
2026-04-29 11:07:46: Екатерина добавил(-а) тег Продюсер;
2026-04-30 14:51:22: Екатерина убрал(-а) тег страт-п-с-26-09;
2026-04-30 14:51:23: Екатерина добавил(-а) тег страт-п-с-26-09</t>
  </si>
  <si>
    <t>2.42. К проведению  еженед. совещания выполнить не менее  90% задач пред и текущ. спринтов + опубликовать в чате еженедельный отчет по задачам</t>
  </si>
  <si>
    <t>28.04.2026 16:21:19</t>
  </si>
  <si>
    <t>2026-04-28 16:21:20: Екатерина создал(-а) задачу;
2026-04-29 09:54:29: Екатерина добавил(-а) тег PRO;
2026-04-29 10:55:36: Екатерина изменил(-а) дату на 07.09.2026;
2026-04-29 10:55:37: Екатерина изменил(-а) дату на 07.09.2026 - 07.09.2026;
2026-04-29 10:55:39: Екатерина изменил(-а) дату на 07.09.2026 - 10.09.2026;
2026-04-29 11:07:30: Екатерина добавил(-а) тег страт-п-с-26-09;
2026-04-29 11:07:31: Екатерина добавил(-а) тег Продюсер;
2026-04-30 14:49:47: Екатерина убрал(-а) тег страт-п-с-26-09;
2026-04-30 14:49:49: Екатерина добавил(-а) тег страт-п-с-26-09</t>
  </si>
  <si>
    <t>2.41. Подготовить предварительный список спикеров с подарками</t>
  </si>
  <si>
    <t>03.09.2026</t>
  </si>
  <si>
    <t>28.04.2026 16:21:10</t>
  </si>
  <si>
    <t>2026-04-28 16:21:11: Екатерина создал(-а) задачу;
2026-04-29 09:54:25: Екатерина добавил(-а) тег PRO;
2026-04-29 10:28:18: Екатерина изменил(-а) дату на 31.08.2026 - 31.08.2026;
2026-04-29 10:28:20: Екатерина изменил(-а) дату на 31.08.2026 - 03.09.2026;
2026-04-29 11:07:24: Екатерина добавил(-а) тег страт-п-с-26-09;
2026-04-29 11:07:25: Екатерина добавил(-а) тег Продюсер;
2026-04-30 14:49:34: Екатерина убрал(-а) тег страт-п-с-26-09;
2026-04-30 14:49:38: Екатерина добавил(-а) тег страт-п-с-26-09</t>
  </si>
  <si>
    <t>2.39. Провести согласование рассылок с Лидгеном</t>
  </si>
  <si>
    <t>28.04.2026 16:20:49</t>
  </si>
  <si>
    <t>2026-04-28 16:20:50: Екатерина создал(-а) задачу;
2026-04-29 09:55:11: Екатерина добавил(-а) тег PRO;
2026-04-29 10:36:00: Екатерина изменил(-а) дату на 31.08.2026;
2026-04-29 10:36:01: Екатерина изменил(-а) дату на 31.08.2026 - 31.08.2026;
2026-04-29 10:36:03: Екатерина изменил(-а) дату на 31.08.2026 - 03.09.2026;
2026-04-29 11:07:11: Екатерина добавил(-а) тег страт-п-с-26-09;
2026-04-29 11:07:12: Екатерина добавил(-а) тег Продюсер;
2026-04-30 14:49:14: Екатерина убрал(-а) тег страт-п-с-26-09;
2026-04-30 14:49:20: Екатерина добавил(-а) тег страт-п-с-26-09</t>
  </si>
  <si>
    <t>2.38. Подписать со спикерами не менее 70-90%  договоров</t>
  </si>
  <si>
    <t>28.04.2026 16:20:40</t>
  </si>
  <si>
    <t>2026-04-28 16:20:40: Екатерина создал(-а) задачу;
2026-04-29 09:55:08: Екатерина добавил(-а) тег PRO;
2026-04-29 10:27:52: Екатерина изменил(-а) дату на 31.08.2026 - 31.08.2026;
2026-04-29 10:27:54: Екатерина изменил(-а) дату на 31.08.2026 - 03.09.2026;
2026-04-29 11:07:04: Екатерина добавил(-а) тег страт-п-с-26-09;
2026-04-29 11:07:06: Екатерина добавил(-а) тег Продюсер;
2026-04-30 14:49:05: Екатерина убрал(-а) тег страт-п-с-26-09;
2026-04-30 14:49:08: Екатерина добавил(-а) тег страт-п-с-26-09</t>
  </si>
  <si>
    <t>2.37 К проведению  еженед. совещания выполнить не менее  90% задач пред и текущ. спринтов +  еженедельный отчет по задачам опубликовать в чате</t>
  </si>
  <si>
    <t>28.04.2026 16:20:30</t>
  </si>
  <si>
    <t>2026-04-28 16:20:31: Екатерина создал(-а) задачу;
2026-04-29 09:55:05: Екатерина добавил(-а) тег PRO;
2026-04-29 10:27:40: Екатерина изменил(-а) дату на 31.08.2026 - 31.08.2026;
2026-04-29 10:27:42: Екатерина изменил(-а) дату на 31.08.2026 - 03.09.2026;
2026-04-29 11:06:33: Екатерина добавил(-а) тег страт-п-с-26-09;
2026-04-29 11:06:36: Екатерина добавил(-а) тег Продюсер;
2026-04-30 14:48:48: Екатерина убрал(-а) тег страт-п-с-26-09;
2026-04-30 14:48:50: Екатерина добавил(-а) тег страт-п-с-26-09</t>
  </si>
  <si>
    <t>2.36 Утвердить и передать координаторам ТЗ на подарки</t>
  </si>
  <si>
    <t>28.04.2026 16:20:19</t>
  </si>
  <si>
    <t>2026-04-28 16:20:19: Екатерина создал(-а) задачу;
2026-04-29 09:55:02: Екатерина добавил(-а) тег PRO;
2026-04-29 10:27:20: Екатерина изменил(-а) дату на 24.08.2026 - 24.08.2026;
2026-04-29 10:27:22: Екатерина изменил(-а) дату на 24.08.2026 - 27.08.2026;
2026-04-29 11:06:25: Екатерина добавил(-а) тег страт-п-с-26-09;
2026-04-29 11:06:27: Екатерина добавил(-а) тег Продюсер;
2026-04-30 14:48:37: Екатерина убрал(-а) тег страт-п-с-26-09;
2026-04-30 14:48:40: Екатерина добавил(-а) тег страт-п-с-26-09</t>
  </si>
  <si>
    <t>2.35. Согласовать с фин отделом смету на райдеры спикеров (подарки)</t>
  </si>
  <si>
    <t>28.04.2026 16:20:09</t>
  </si>
  <si>
    <t>2026-04-28 16:20:09: Екатерина создал(-а) задачу;
2026-04-29 09:54:59: Екатерина добавил(-а) тег PRO;
2026-04-29 10:27:10: Екатерина изменил(-а) дату на 24.08.2026 - 24.08.2026;
2026-04-29 10:27:12: Екатерина изменил(-а) дату на 24.08.2026 - 27.08.2026;
2026-04-29 11:06:20: Екатерина добавил(-а) тег страт-п-с-26-09;
2026-04-29 11:06:21: Екатерина добавил(-а) тег Продюсер;
2026-04-30 14:48:27: Екатерина убрал(-а) тег страт-п-с-26-09;
2026-04-30 14:48:30: Екатерина добавил(-а) тег страт-п-с-26-09</t>
  </si>
  <si>
    <t>2.34. Получить презентации от50% подтвержденных спикеров</t>
  </si>
  <si>
    <t>28.04.2026 16:19:57</t>
  </si>
  <si>
    <t>2026-04-28 16:19:58: Екатерина создал(-а) задачу;
2026-04-29 09:54:55: Екатерина добавил(-а) тег PRO;
2026-04-29 10:26:55: Екатерина изменил(-а) дату на 24.08.2026 - 24.08.2026;
2026-04-29 10:26:57: Екатерина изменил(-а) дату на 24.08.2026 - 27.08.2026;
2026-04-29 11:06:07: Екатерина добавил(-а) тег страт-п-с-26-09;
2026-04-29 11:06:12: Екатерина добавил(-а) тег Продюсер;
2026-04-30 14:48:13: Екатерина убрал(-а) тег страт-п-с-26-09;
2026-04-30 14:48:19: Екатерина добавил(-а) тег страт-п-с-26-09</t>
  </si>
  <si>
    <t>2.33. Провести согласование рассылок с Лидгеном</t>
  </si>
  <si>
    <t>28.04.2026 16:19:49</t>
  </si>
  <si>
    <t>2026-04-28 16:19:49: Екатерина создал(-а) задачу;
2026-04-29 09:54:01: Екатерина добавил(-а) тег PRO;
2026-04-29 10:26:39: Екатерина изменил(-а) дату на 24.08.2026 - 24.08.2026;
2026-04-29 10:26:40: Екатерина изменил(-а) дату на 24.08.2026 - 27.08.2026;
2026-04-29 11:05:57: Екатерина добавил(-а) тег страт-п-с-26-09;
2026-04-29 11:06:00: Екатерина добавил(-а) тег Продюсер;
2026-04-30 14:47:59: Екатерина убрал(-а) тег страт-п-с-26-09;
2026-04-30 14:48:08: Екатерина добавил(-а) тег страт-п-с-26-09</t>
  </si>
  <si>
    <t>2.32. Подписать со спикерами не менее 50-70%  договоров</t>
  </si>
  <si>
    <t>28.04.2026 16:19:41</t>
  </si>
  <si>
    <t>2026-04-28 16:19:41: Екатерина создал(-а) задачу;
2026-04-29 09:53:55: Екатерина добавил(-а) тег PRO;
2026-04-29 09:59:16: Екатерина добавил(-а) тег страт-п-с-26-09;
2026-04-29 09:59:22: Екатерина добавил(-а) тег Продюсер;
2026-04-29 10:26:20: Екатерина изменил(-а) дату на 24.08.2026 - 24.08.2026;
2026-04-29 10:26:22: Екатерина изменил(-а) дату на 24.08.2026 - 27.08.2026;
2026-04-30 14:47:42: Екатерина убрал(-а) тег страт-п-с-26-09;
2026-04-30 14:47:47: Екатерина добавил(-а) тег страт-п-с-26-09</t>
  </si>
  <si>
    <t>2.31. К проведению  еженед. совещания выполнить не менее  90% задач пред и текущ. спринтов +  еженедельный отчет по задачам опубликовать в чате</t>
  </si>
  <si>
    <t>28.04.2026 16:19:30</t>
  </si>
  <si>
    <t>2026-04-28 16:19:30: Екатерина создал(-а) задачу;
2026-04-29 09:53:09: Екатерина добавил(-а) тег PRO;
2026-04-29 09:59:02: Екатерина добавил(-а) тег страт-п-с-26-09;
2026-04-29 09:59:07: Екатерина добавил(-а) тег Продюсер;
2026-04-29 10:26:07: Екатерина изменил(-а) дату на 24.08.2026;
2026-04-29 10:26:07: Екатерина изменил(-а) дату на 24.08.2026 - 24.08.2026;
2026-04-29 10:26:10: Екатерина изменил(-а) дату на 24.08.2026 - 27.08.2026;
2026-04-30 14:47:30: Екатерина убрал(-а) тег страт-п-с-26-09;
2026-04-30 14:47:32: Екатерина добавил(-а) тег страт-п-с-26-09;
2026-04-30 14:47:33: Екатерина добавил(-а) тег ШП;
2026-04-30 14:47:34: Екатерина убрал(-а) тег ШП</t>
  </si>
  <si>
    <t>2.30. Получить презентации от 30% подтвержденных спикеров</t>
  </si>
  <si>
    <t>28.04.2026 16:19:20</t>
  </si>
  <si>
    <t>2026-04-28 16:19:20: Екатерина создал(-а) задачу;
2026-04-29 09:53:05: Екатерина добавил(-а) тег PRO;
2026-04-29 09:58:48: Екатерина добавил(-а) тег страт-п-с-26-09;
2026-04-29 09:58:52: Екатерина добавил(-а) тег Продюсер;
2026-04-29 10:25:34: Екатерина изменил(-а) дату на 17.08.2026 - 17.08.2026;
2026-04-29 10:25:35: Екатерина изменил(-а) дату на 17.08.2026 - 20.08.2026;
2026-04-30 14:47:11: Екатерина убрал(-а) тег страт-п-с-26-09;
2026-04-30 14:47:15: Екатерина добавил(-а) тег страт-п-с-26-09</t>
  </si>
  <si>
    <t>2.29. Провести согласование рассылок с Лидгеном</t>
  </si>
  <si>
    <t>28.04.2026 16:19:09</t>
  </si>
  <si>
    <t>2026-04-28 16:19:09: Екатерина создал(-а) задачу;
2026-04-29 09:53:01: Екатерина добавил(-а) тег PRO;
2026-04-29 09:58:32: Екатерина добавил(-а) тег страт-п-с-26-09;
2026-04-29 09:58:35: Екатерина добавил(-а) тег Продюсер;
2026-04-29 10:25:09: Екатерина изменил(-а) дату на 17.08.2026;
2026-04-29 10:25:10: Екатерина изменил(-а) дату на 20.08.2026;
2026-04-29 10:25:23: Екатерина изменил(-а) дату на 17.08.2026 - 20.08.2026;
2026-04-30 14:46:59: Екатерина убрал(-а) тег страт-п-с-26-09;
2026-04-30 14:47:04: Екатерина добавил(-а) тег страт-п-с-26-09</t>
  </si>
  <si>
    <t>2.28. Получить не менее 35-50% подписанных договоров со спикерами</t>
  </si>
  <si>
    <t>28.04.2026 16:18:58</t>
  </si>
  <si>
    <t>2026-04-28 16:18:58: Екатерина создал(-а) задачу;
2026-04-29 09:52:57: Екатерина добавил(-а) тег PRO;
2026-04-29 09:58:15: Екатерина добавил(-а) тег страт-п-с-26-09;
2026-04-29 09:58:20: Екатерина добавил(-а) тег Продюсер;
2026-04-29 10:24:46: Екатерина изменил(-а) дату на 17.08.2026 - 17.08.2026;
2026-04-29 10:24:46: Екатерина изменил(-а) дату на 17.08.2026 - 20.08.2026;
2026-04-30 14:46:49: Екатерина убрал(-а) тег страт-п-с-26-09;
2026-04-30 14:46:52: Екатерина добавил(-а) тег страт-п-с-26-09</t>
  </si>
  <si>
    <t>2.27. К проведению  еженед. совещания выполнить не менее  90% задач пред и текущ. спринтов + еженедельный отчет по задачам опубликовать в чате</t>
  </si>
  <si>
    <t>28.04.2026 16:18:48</t>
  </si>
  <si>
    <t>2026-04-28 16:18:48: Екатерина создал(-а) задачу;
2026-04-29 09:52:51: Екатерина добавил(-а) тег PRO;
2026-04-29 09:58:01: Екатерина добавил(-а) тег страт-п-с-26-09;
2026-04-29 09:58:07: Екатерина добавил(-а) тег Продюсер;
2026-04-29 10:24:30: Екатерина изменил(-а) дату на 17.08.2026 - 17.08.2026;
2026-04-29 10:24:30: Екатерина изменил(-а) дату на 20.08.2026;
2026-04-29 10:24:34: Екатерина изменил(-а) дату на 17.08.2026 - 20.08.2026;
2026-04-30 14:46:30: Екатерина убрал(-а) тег страт-п-с-26-09;
2026-04-30 14:46:33: Екатерина добавил(-а) тег страт-п-с-26-09</t>
  </si>
  <si>
    <t>2.21. Провести согласование  рассылочных писем с Лидгеном</t>
  </si>
  <si>
    <t>28.04.2026 16:17:07</t>
  </si>
  <si>
    <t>2026-04-28 16:17:07: Екатерина создал(-а) задачу;
2026-04-28 19:26:59: Екатерина добавил(-а) тег PRO;
2026-04-29 09:55:45: Екатерина добавил(-а) тег страт-п-с-26-09;
2026-04-29 09:55:45: Екатерина добавил(-а) тег Продюсер;
2026-04-29 10:22:49: Екатерина изменил(-а) дату на 03.08.2026 - 03.08.2026;
2026-04-29 10:22:50: Екатерина изменил(-а) дату на 03.08.2026 - 06.08.2026;
2026-04-30 14:44:55: Екатерина убрал(-а) тег страт-п-с-26-09;
2026-04-30 14:45:00: Екатерина добавил(-а) тег страт-п-с-26-09</t>
  </si>
  <si>
    <t>2.20. Подписать со спикерами не менее 15%  договоров</t>
  </si>
  <si>
    <t>28.04.2026 16:16:58</t>
  </si>
  <si>
    <t>2026-04-28 16:17:00: Екатерина создал(-а) задачу;
2026-04-28 19:26:55: Екатерина добавил(-а) тег PRO;
2026-04-29 09:55:38: Екатерина добавил(-а) тег страт-п-с-26-09;
2026-04-29 09:55:38: Екатерина добавил(-а) тег Продюсер;
2026-04-29 10:22:37: Екатерина изменил(-а) дату на 03.08.2026 - 03.08.2026;
2026-04-29 10:22:40: Екатерина изменил(-а) дату на 03.08.2026 - 06.08.2026;
2026-04-30 14:44:44: Екатерина убрал(-а) тег страт-п-с-26-09;
2026-04-30 14:44:49: Екатерина добавил(-а) тег страт-п-с-26-09</t>
  </si>
  <si>
    <t>2.19. К проведению  еженедельного совещания выполнить не менее  90% задач пред и текущ. спринтов +  еженедельный отчет опубликовать в чате</t>
  </si>
  <si>
    <t>28.04.2026 16:16:50</t>
  </si>
  <si>
    <t>2026-04-28 16:16:50: Екатерина создал(-а) задачу;
2026-04-28 19:11:51: Екатерина изменил(-а) дату на 07.08.2026;
2026-04-28 19:26:50: Екатерина добавил(-а) тег PRO;
2026-04-29 09:55:30: Екатерина добавил(-а) тег страт-п-с-26-09;
2026-04-29 09:55:32: Екатерина добавил(-а) тег Продюсер;
2026-04-29 10:22:16: Екатерина изменил(-а) дату на 03.08.2026 - 07.08.2026;
2026-04-29 10:22:17: Екатерина изменил(-а) дату на 03.08.2026 - 06.08.2026;
2026-04-30 14:44:30: Екатерина убрал(-а) тег страт-п-с-26-09;
2026-04-30 14:44:35: Екатерина добавил(-а) тег страт-п-с-26-09</t>
  </si>
  <si>
    <t>2.17. Получить от спикеров не менее 80% подтверждений о прочтении сообщений</t>
  </si>
  <si>
    <t>28.04.2026 16:16:24</t>
  </si>
  <si>
    <t>2026-04-28 16:16:26: Екатерина создал(-а) задачу;
2026-04-28 19:24:42: Екатерина добавил(-а) тег PRO;
2026-04-29 09:53:45: Екатерина добавил(-а) тег страт-п-с-26-09;
2026-04-29 09:53:45: Екатерина добавил(-а) тег ШП;
2026-04-29 09:53:45: Екатерина добавил(-а) тег Продюсер;
2026-04-29 09:53:47: Екатерина убрал(-а) тег ШП;
2026-04-29 10:21:45: Екатерина изменил(-а) дату на 27.07.2026 - 27.07.2026;
2026-04-29 10:21:46: Екатерина изменил(-а) дату на 27.07.2026 - 30.07.2026;
2026-04-30 14:39:54: Екатерина убрал(-а) тег страт-п-с-26-09;
2026-04-30 14:40:01: Екатерина добавил(-а) тег страт-п-с-26-09</t>
  </si>
  <si>
    <t>2.16. Провести еженедельное совещание и протокол совещания опубликовать в рабочем чате</t>
  </si>
  <si>
    <t>28.04.2026 16:16:15</t>
  </si>
  <si>
    <t>2026-04-28 16:16:15: Екатерина создал(-а) задачу;
2026-04-28 19:24:40: Екатерина добавил(-а) тег PRO;
2026-04-29 09:53:31: Екатерина добавил(-а) тег Продюсер;
2026-04-29 09:53:38: Екатерина добавил(-а) тег страт-п-с-26-09;
2026-04-29 10:21:33: Екатерина изменил(-а) дату на 27.07.2026 - 27.07.2026;
2026-04-29 10:21:36: Екатерина изменил(-а) дату на 27.07.2026 - 30.07.2026</t>
  </si>
  <si>
    <t>2.10. Результаты исследования сбросить в чат проекта</t>
  </si>
  <si>
    <t>28.04.2026 16:14:32</t>
  </si>
  <si>
    <t>PRE, Продюсер, страт-п-с-26-09</t>
  </si>
  <si>
    <t>2026-04-28 16:14:33: Екатерина создал(-а) задачу;
2026-04-28 19:06:11: Екатерина изменил(-а) дату на 12.06.2026;
2026-04-28 19:06:15: Екатерина убрал(-а) дату;
2026-04-28 19:06:29: Екатерина изменил(-а) дату на 12.06.2026;
2026-04-28 19:44:53: Екатерина добавил(-а) тег PRE;
2026-04-28 19:44:56: Екатерина добавил(-а) тег Продюсер;
2026-04-28 19:44:56: Екатерина убрал(-а) тег Продюсер;
2026-04-28 19:44:56: Екатерина добавил(-а) тег страт-п-с-26-09;
2026-04-28 19:45:02: Екатерина добавил(-а) тег Продюсер;
2026-04-29 10:19:40: Екатерина изменил(-а) дату на 08.06.2026 - 12.06.2026;
2026-04-29 10:19:43: Екатерина изменил(-а) дату на 08.06.2026 - 11.06.2026;
2026-04-30 14:35:48: Екатерина убрал(-а) тег страт-п-с-26-09;
2026-04-30 14:35:51: Екатерина добавил(-а) тег страт-п-с-26-09</t>
  </si>
  <si>
    <t>2.09. Подытожить результаты кабинетного исследования и глубинных интервью</t>
  </si>
  <si>
    <t>28.04.2026 16:14:22</t>
  </si>
  <si>
    <t>2026-04-28 16:14:22: Екатерина создал(-а) задачу;
2026-04-28 17:15:11: Екатерина изменил(-а) название на 2.09. Подытожить результаты кабинетного исследования и глубинных интервью;
2026-04-28 19:43:44: Екатерина добавил(-а) тег PRE;
2026-04-28 19:43:46: Екатерина добавил(-а) тег страт-п-с-26-09;
2026-04-28 19:43:47: Екатерина добавил(-а) тег ШП;
2026-04-28 19:43:49: Екатерина добавил(-а) тег Продюсер;
2026-04-28 19:44:16: Екатерина убрал(-а) тег ШП;
2026-04-28 19:48:04: Екатерина изменил(-а) дату на 08.06.2026;
2026-04-28 19:48:07: Екатерина изменил(-а) дату на 08.06.2026 - 08.06.2026;
2026-04-28 19:48:08: Екатерина изменил(-а) дату на 08.06.2026 - 11.06.2026;
2026-04-30 14:35:30: Екатерина убрал(-а) тег страт-п-с-26-09;
2026-04-30 14:35:33: Екатерина добавил(-а) тег страт-п-с-26-09</t>
  </si>
  <si>
    <t>2.06. Провести 40% глубинных интервью</t>
  </si>
  <si>
    <t>28.04.2026 16:13:47</t>
  </si>
  <si>
    <t>2026-04-28 16:13:47: Екатерина создал(-а) задачу;
2026-04-28 17:14:48: Екатерина изменил(-а) название на 2.06. Провести 40% глубинных интервью;
2026-04-28 19:40:41: Екатерина добавил(-а) тег PRE;
2026-04-28 19:41:06: Екатерина добавил(-а) тег Продюсер;
2026-04-28 19:41:09: Екатерина добавил(-а) тег страт-п-с-26-09;
2026-04-28 19:46:16: Екатерина изменил(-а) дату на 04.06.2026 - 04.06.2026;
2026-04-28 19:46:16: Екатерина изменил(-а) дату на 01.06.2026 - 01.06.2026;
2026-04-28 19:46:32: Екатерина изменил(-а) дату на 01.06.2026 - 04.06.2026;
2026-04-28 19:46:34: Екатерина изменил(-а) дату на 04.06.2026 - 04.06.2026;
2026-04-28 19:46:52: Екатерина изменил(-а) дату на 01.06.2026 - 04.06.2026;
2026-04-28 19:46:54: Екатерина изменил(-а) дату на 04.06.2026 - 04.06.2026;
2026-04-28 19:47:08: Екатерина изменил(-а) дату на 01.06.2026 - 04.06.2026;
2026-04-29 10:35:45: Екатерина добавил(-а) подзадачу #307 2.05. Провести конкурентный анализ</t>
  </si>
  <si>
    <t>2.05. Провести конкурентный анализ</t>
  </si>
  <si>
    <t>28.04.2026 16:13:33</t>
  </si>
  <si>
    <t>2026-04-28 16:13:34: Екатерина создал(-а) задачу;
2026-04-28 17:14:26: Екатерина изменил(-а) название на 2.05. Провести конкурентный анализ;
2026-04-28 19:39:56: Екатерина добавил(-а) тег PRE;
2026-04-28 19:40:47: Екатерина добавил(-а) тег Продюсер;
2026-04-28 19:40:48: Екатерина добавил(-а) тег страт-п-с-26-09;
2026-04-28 19:46:09: Екатерина изменил(-а) дату на 01.06.2026 - 01.06.2026;
2026-04-28 19:46:09: Екатерина изменил(-а) дату на 04.06.2026 - 04.06.2026;
2026-04-28 19:46:25: Екатерина изменил(-а) дату на 01.06.2026 - 04.06.2026;
2026-04-29 10:35:45: Екатерина изменил(-а) родительскую задачу на #308 2.06. Провести 40% глубинных интервью</t>
  </si>
  <si>
    <t>2.04. Провести кабинетное исследование</t>
  </si>
  <si>
    <t>28.04.2026 16:13:25</t>
  </si>
  <si>
    <t>2026-04-28 16:13:25: Екатерина создал(-а) задачу;
2026-04-28 17:14:12: Екатерина изменил(-а) название на 2.04. Провести кабинетное исследование;
2026-04-28 19:39:53: Екатерина добавил(-а) тег PRE;
2026-04-28 19:40:25: Екатерина добавил(-а) тег Продюсер;
2026-04-28 19:40:26: Екатерина добавил(-а) тег страт-п-с-26-09;
2026-04-28 19:45:54: Екатерина изменил(-а) дату на 01.06.2026;
2026-04-28 19:45:54: Екатерина изменил(-а) дату на 04.06.2026;
2026-04-28 19:46:00: Екатерина изменил(-а) дату на 01.06.2026 - 04.06.2026</t>
  </si>
  <si>
    <t>2.03. Утвердить с ШП пакеты на возможность реализации на площадке</t>
  </si>
  <si>
    <t>28.04.2026 16:12:56</t>
  </si>
  <si>
    <t>2026-04-28 16:12:58: Екатерина создал(-а) задачу;
2026-04-28 17:13:57: Екатерина изменил(-а) название на 2.03. Утвердить с ШП пакеты на возможность реализации на площадке;
2026-04-28 19:25:13: Екатерина добавил(-а) тег PRE;
2026-04-28 19:40:04: Екатерина добавил(-а) тег Продюсер;
2026-04-28 19:40:06: Екатерина добавил(-а) тег страт-п-с-26-09;
2026-04-28 19:45:35: Екатерина изменил(-а) дату на 25.05.2026;
2026-04-28 19:45:35: Екатерина изменил(-а) дату на 25.05.2026 - 25.05.2026;
2026-04-28 19:45:38: Екатерина изменил(-а) дату на 25.05.2026 - 28.05.2026</t>
  </si>
  <si>
    <t>Страт-п-с-26-09 Финиш вехи Пост</t>
  </si>
  <si>
    <t>28.04.2026 16:06:48</t>
  </si>
  <si>
    <t>Елена</t>
  </si>
  <si>
    <t>Екатерина, Елена</t>
  </si>
  <si>
    <t>страт-п-с-26-09, Операционный директор, финиш вехи Post</t>
  </si>
  <si>
    <t>2026-04-28 16:06:49: Екатерина создал(-а) задачу;
2026-04-28 16:07:27: Екатерина добавил(-а) тег страт-п-с-26-09;
2026-04-28 16:07:31: Екатерина добавил(-а) тег Операционный директор;
2026-04-28 16:07:47: Екатерина изменил(-а) дату на 28.09.2026;
2026-04-28 16:07:49: Екатерина изменил(-а) дату на 01.10.2026;
2026-04-28 16:07:53: Екатерина изменил(-а) дату на 28.09.2026 - 01.10.2026;
2026-04-28 16:08:28: Екатерина изменил(-а) название на Финиш вехи Пост;
2026-04-28 16:31:23: Екатерина добавил(-а) тег финиш вехи Post;
2026-04-28 16:35:26: Екатерина изменил(-а) название на СтратФиниш вехи Пост;
2026-04-28 16:35:31: Екатерина изменил(-а) название на Страт-пФиниш вехи Пост;
2026-04-28 16:35:34: Екатерина изменил(-а) название на Страт-п-сФиниш вехи Пост;
2026-04-28 16:35:40: Екатерина изменил(-а) название на Страт-п-с-26Финиш вехи Пост;
2026-04-28 16:35:44: Екатерина изменил(-а) название на Страт-п-с-26-09 Финиш вехи Пост;
2026-04-28 16:35:53: Екатерина изменил(-а) название на Лично Страт-п-с-26-09 Финиш вехи Пост;
2026-04-28 16:35:54: Екатерина изменил(-а) название на Лично сенСтрат-п-с-26-09 Финиш вехи Пост;
2026-04-28 16:35:57: Екатерина изменил(-а) название на Лично сентябрь 2026 Страт-п-с-26-09 Финиш вехи Пост;
2026-04-28 16:36:10: Екатерина изменил(-а) название на Страт-п-с-26-09 Финиш вехи Пост;
2026-04-30 10:51:34: Екатерина назначил(-а) Нелли исполнителем;
2026-04-30 10:51:44: Екатерина отстранил(-а) Нелли от задачи;
2026-04-30 10:52:03: Екатерина назначил(-а) Елена исполнителем</t>
  </si>
  <si>
    <t>Страт-п-с-26-09 Старт вехи Pro</t>
  </si>
  <si>
    <t>28.04.2026 15:53:36</t>
  </si>
  <si>
    <t>страт-п-с-26-09, Операционный директор, старт вехи Pro</t>
  </si>
  <si>
    <t>2026-04-28 15:53:36: Екатерина создал(-а) задачу;
2026-04-28 15:53:46: Екатерина добавил(-а) тег страт-п-с-26-09;
2026-04-28 15:53:49: Екатерина добавил(-а) тег Операционный директор;
2026-04-28 15:54:27: Екатерина изменил(-а) дату на 27.07.2026;
2026-04-28 15:54:32: Екатерина изменил(-а) дату на 27.07.2026 - 27.07.2026;
2026-04-28 15:54:36: Екатерина изменил(-а) дату на 27.07.2026 - 30.07.2026;
2026-04-28 15:54:48: Екатерина изменил(-а) название на 0Старт вехи Pro;
2026-04-28 15:54:50: Екатерина изменил(-а) название на 0.Старт вехи Pro;
2026-04-28 15:54:55: Екатерина изменил(-а) название на 0.2. Старт вехи Pro;
2026-04-28 15:54:56: Екатерина изменил(-а) название на 0.2.Старт вехи Pro;
2026-04-28 15:55:33: Екатерина изменил(-а) название на 0.2. Старт вехи Pro;
2026-04-28 16:08:16: Екатерина изменил(-а) название на Старт вехи Pro;
2026-04-28 16:30:32: Екатерина добавил(-а) тег старт вехи Pro;
2026-04-28 16:31:00: Екатерина добавил(-а) тег финиш вехи Post;
2026-04-28 16:31:17: Екатерина убрал(-а) тег финиш вехи Post;
2026-04-28 16:36:29: Екатерина изменил(-а) название на Страт-п-с-26-09Старт вехи Pro;
2026-04-28 16:36:30: Екатерина изменил(-а) название на Страт-п-с-26-09 Старт вехи Pro;
2026-04-30 10:52:02: Екатерина назначил(-а) Елена исполнителем</t>
  </si>
  <si>
    <t>Страт-п-с-26-09 Старт вехи Pre</t>
  </si>
  <si>
    <t>21.05.2026</t>
  </si>
  <si>
    <t>28.04.2026 15:47:42</t>
  </si>
  <si>
    <t>страт-п-с-26-09, Операционный директор, Старт вехи Pre</t>
  </si>
  <si>
    <t>2026-04-28 15:47:42: Екатерина создал(-а) задачу;
2026-04-28 15:47:57: Екатерина добавил(-а) тег страт-п-с-26-09;
2026-04-28 15:47:57: Екатерина добавил(-а) тег ШП;
2026-04-28 15:48:04: Екатерина убрал(-а) тег ШП;
2026-04-28 15:48:26: Екатерина добавил(-а) тег Операционный директор;
2026-04-28 15:49:18: Екатерина изменил(-а) дату на 18.05.2026;
2026-04-28 15:49:19: Екатерина изменил(-а) дату на 21.05.2026;
2026-04-28 15:49:20: Екатерина изменил(-а) дату на 18.05.2026;
2026-04-28 15:49:23: Екатерина изменил(-а) дату на 18.05.2026 - 18.05.2026;
2026-04-28 15:49:25: Екатерина изменил(-а) дату на 18.05.2026 - 21.05.2026;
2026-04-28 15:55:20: Екатерина изменил(-а) название на 0Старт вехи Pre;
2026-04-28 15:55:22: Екатерина изменил(-а) название на 0.1.Старт вехи Pre;
2026-04-28 15:55:25: Екатерина изменил(-а) название на 0.1. Старт вехи Pre;
2026-04-28 16:07:15: Екатерина изменил(-а) название на Старт вехи Pre;
2026-04-28 16:30:13: Екатерина добавил(-а) тег Старт вехи Pre;
2026-04-28 16:36:36: Екатерина изменил(-а) название на Страт-п-с-26-09Старт вехи Pre;
2026-04-28 16:36:36: Екатерина изменил(-а) название на Страт-п-с-26-09 Старт вехи Pre;
2026-04-30 10:51:58: Екатерина назначил(-а) Елена исполнителем</t>
  </si>
  <si>
    <t>2.01. Провести Презентацию проекта на Первичном совещании</t>
  </si>
  <si>
    <t>2.1.10. Произвести сверку  наличия брони по площадке - сверяем с годовым планом по бронированию мест проведения</t>
  </si>
  <si>
    <t>28.04.2026 15:43:55</t>
  </si>
  <si>
    <t>2026-04-28 15:43:55: Екатерина создал(-а) задачу;
2026-04-28 19:36:07: Екатерина изменил(-а) дату на 18.05.2026 - 18.05.2026;
2026-04-28 19:36:10: Екатерина изменил(-а) дату на 18.05.2026 - 19.05.2026;
2026-04-28 19:38:53: Екатерина добавил(-а) задачу в проект ЛИЧНО сентябрь 24.09.2026</t>
  </si>
  <si>
    <t>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</t>
  </si>
  <si>
    <t>28.04.2026 15:43:45</t>
  </si>
  <si>
    <t>2026-04-28 15:43:45: Екатерина создал(-а) задачу;
2026-04-28 19:35:55: Екатерина изменил(-а) дату на 18.05.2026;
2026-04-28 19:35:58: Екатерина изменил(-а) дату на 18.05.2026 - 18.05.2026;
2026-04-28 19:36:01: Екатерина изменил(-а) дату на 18.05.2026 - 19.05.2026;
2026-04-28 19:38:48: Екатерина добавил(-а) задачу в проект ЛИЧНО сентябрь 24.09.2026</t>
  </si>
  <si>
    <t>2.1.8. Проанализированы косяки предыдущего мероприятия</t>
  </si>
  <si>
    <t>28.04.2026 15:43:34</t>
  </si>
  <si>
    <t>2026-04-28 15:43:34: Екатерина создал(-а) задачу;
2026-04-28 19:35:39: Екатерина изменил(-а) дату на 18.05.2026;
2026-04-28 19:35:43: Екатерина изменил(-а) дату на 18.05.2026 - 18.05.2026;
2026-04-28 19:35:46: Екатерина изменил(-а) дату на 18.05.2026 - 19.05.2026;
2026-04-28 19:38:44: Екатерина добавил(-а) задачу в проект ЛИЧНО сентябрь 24.09.2026</t>
  </si>
  <si>
    <t>2.1.7. Протокол совещания подписать с шеф-продюсером и положить в специальную папку, обозначенную именем проекта и годом проведения</t>
  </si>
  <si>
    <t>28.04.2026 15:43:23</t>
  </si>
  <si>
    <t>2026-04-28 15:43:23: Екатерина создал(-а) задачу;
2026-04-28 19:33:52: Екатерина изменил(-а) дату на 18.05.2026;
2026-04-28 19:33:54: Екатерина изменил(-а) дату на 19.05.2026;
2026-04-28 19:33:56: Екатерина изменил(-а) дату на 18.05.2026 - 19.05.2026;
2026-04-28 19:38:40: Екатерина добавил(-а) задачу в проект ЛИЧНО сентябрь 24.09.2026</t>
  </si>
  <si>
    <t>2.1.6. Сформировать Протокол совещания,  в котором подитожены все предыдущие пункты</t>
  </si>
  <si>
    <t>28.04.2026 15:43:04</t>
  </si>
  <si>
    <t>2026-04-28 15:43:05: Екатерина создал(-а) задачу;
2026-04-28 19:33:27: Екатерина изменил(-а) дату на 18.05.2026;
2026-04-28 19:33:30: Екатерина изменил(-а) дату на 18.05.2026 - 18.05.2026;
2026-04-28 19:33:32: Екатерина изменил(-а) дату на 18.05.2026 - 19.05.2026;
2026-04-28 19:33:37: Екатерина изменил(-а) дату на 19.05.2026 - 19.05.2026;
2026-04-28 19:33:42: Екатерина изменил(-а) дату на 18.05.2026 - 19.05.2026;
2026-04-28 19:38:33: Екатерина добавил(-а) задачу в проект ЛИЧНО сентябрь 24.09.2026</t>
  </si>
  <si>
    <t>2.1.5. Определить  Целевую аудитория мероприятия</t>
  </si>
  <si>
    <t>28.04.2026 15:42:48</t>
  </si>
  <si>
    <t>2026-04-28 15:42:48: Екатерина создал(-а) задачу;
2026-04-28 19:33:02: Екатерина изменил(-а) дату на 18.05.2026;
2026-04-28 19:33:04: Екатерина изменил(-а) дату на 19.05.2026;
2026-04-28 19:33:05: Екатерина изменил(-а) дату на 18.05.2026;
2026-04-28 19:33:08: Екатерина изменил(-а) дату на 18.05.2026 - 18.05.2026;
2026-04-28 19:33:09: Екатерина изменил(-а) дату на 18.05.2026 - 19.05.2026;
2026-04-28 19:38:30: Екатерина добавил(-а) задачу в проект ЛИЧНО сентябрь 24.09.2026</t>
  </si>
  <si>
    <t>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</t>
  </si>
  <si>
    <t>28.04.2026 15:42:34</t>
  </si>
  <si>
    <t>2026-04-28 15:42:34: Екатерина создал(-а) задачу;
2026-04-28 19:32:47: Екатерина изменил(-а) дату на 18.05.2026;
2026-04-28 19:32:50: Екатерина изменил(-а) дату на 18.05.2026 - 18.05.2026;
2026-04-28 19:32:53: Екатерина изменил(-а) дату на 18.05.2026 - 19.05.2026;
2026-04-28 19:38:27: Екатерина добавил(-а) задачу в проект ЛИЧНО сентябрь 24.09.2026</t>
  </si>
  <si>
    <t>2.1.3. Согласовать дату совещания с участниками</t>
  </si>
  <si>
    <t>28.04.2026 15:41:50</t>
  </si>
  <si>
    <t>2026-04-28 15:41:50: Екатерина создал(-а) задачу;
2026-04-28 19:24:09: Екатерина изменил(-а) дату на 18.05.2026;
2026-04-28 19:24:09: Екатерина изменил(-а) дату на 19.05.2026;
2026-04-28 19:24:13: Екатерина изменил(-а) дату на 18.05.2026 - 19.05.2026;
2026-04-28 19:38:23: Екатерина добавил(-а) задачу в проект ЛИЧНО сентябрь 24.09.2026;
2026-04-28 19:39:11: Екатерина переместил(-а) задачу в проекте ЛИЧНО сентябрь 24.09.2026 в колонку Дивизион Конференции / К работе;
2026-04-28 19:39:25: Екатерина снял(-а) задачу с доски в проекте ЛИЧНО сентябрь 24.09.2026</t>
  </si>
  <si>
    <t>2.1.2. Назначить дату совещания</t>
  </si>
  <si>
    <t>28.04.2026 15:41:43</t>
  </si>
  <si>
    <t>2026-04-28 15:41:43: Екатерина создал(-а) задачу;
2026-04-28 16:28:32: Екатерина изменил(-а) дату на 20.06.2026;
2026-04-28 19:23:17: Екатерина изменил(-а) дату на 18.05.2026;
2026-04-28 19:23:20: Екатерина изменил(-а) дату на 18.05.2026 - 18.05.2026;
2026-04-28 19:23:22: Екатерина изменил(-а) дату на 18.05.2026 - 19.05.2026;
2026-04-28 19:38:17: Екатерина добавил(-а) задачу в проект ЛИЧНО сентябрь 24.09.2026;
2026-04-28 19:39:08: Екатерина переместил(-а) задачу в проекте ЛИЧНО сентябрь 24.09.2026 в колонку Дивизион Конференции / К работе;
2026-04-28 19:39:22: Екатерина снял(-а) задачу с доски в проекте ЛИЧНО сентябрь 24.09.2026</t>
  </si>
  <si>
    <t>0/10
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</t>
  </si>
  <si>
    <t>28.04.2026 15:41:35</t>
  </si>
  <si>
    <t>2026-04-28 15:41:35: Екатерина создал(-а) задачу;
2026-04-28 19:22:57: Екатерина изменил(-а) дату на 19.05.2026;
2026-04-28 19:22:57: Екатерина изменил(-а) дату на 18.05.2026;
2026-04-28 19:23:00: Екатерина изменил(-а) дату на 18.05.2026 - 18.05.2026;
2026-04-28 19:23:02: Екатерина изменил(-а) дату на 18.05.2026 - 19.05.2026;
2026-04-28 19:38:14: Екатерина добавил(-а) задачу в проект ЛИЧНО сентябрь 24.09.2026;
2026-04-28 19:39:05: Екатерина переместил(-а) задачу в проекте ЛИЧНО сентябрь 24.09.2026 в колонку Дивизион Конференции / К работе;
2026-04-28 19:39:19: Екатерина снял(-а) задачу с доски в проекте ЛИЧНО сентябрь 24.09.2026</t>
  </si>
  <si>
    <t>28.04.2026 15:40:18</t>
  </si>
  <si>
    <t>2026-04-28 15:40:19: Екатерина создал(-а) задачу;
2026-04-28 15:41:35: Екатерина добавил(-а) подзадачу #291 0/10
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лидген);
2026-04-28 15:41:43: Екатерина добавил(-а) подзадачу #292 2.1.2. Назначить дату совещания;
2026-04-28 15:41:50: Екатерина добавил(-а) подзадачу #293 2.1.3. Согласовать дату совещания с участниками;
2026-04-28 15:42:34: Екатерина добавил(-а) подзадачу #294 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участников;
2026-04-28 15:42:48: Екатерина добавил(-а) подзадачу #295 2.1.5. Определить Целевую аудитория мероприятия;
2026-04-28 15:43:05: Екатерина добавил(-а) подзадачу #296 2.1.6. Сформировать Протокол совещания, в котором подитожены все предыдущие пункты;
2026-04-28 15:43:23: Екатерина добавил(-а) подзадачу #297 2.1.7. Протокол совещания подписать с шеф-продюсером и положить в специальную папку, обозначенную именем проекта и годом проведения;
2026-04-28 15:43:34: Екатерина добавил(-а) подзадачу #298 2.1.8. Проанализированы косяки предыдущего мероприятия;
2026-04-28 15:43:45: Екатерина добавил(-а) подзадачу #299 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каналов;
2026-04-28 15:43:55: Екатерина добавил(-а) подзадачу #300 2.1.10. Произвести сверку наличия брони по площадке - сверяем с годовым планом по бронированию мест проведения;
2026-04-28 15:44:12: Екатерина добавил(-а) тег PRE;
2026-04-28 15:44:26: Екатерина добавил(-а) тег Продюсер;
2026-04-28 15:44:54: Екатерина добавил(-а) тег страт-п-с-26-09;
2026-04-28 15:45:02: Екатерина убрал(-а) тег страт-п-с-26-09;
2026-04-28 15:45:03: Екатерина добавил(-а) тег старт вехи Pro;
2026-04-28 15:45:57: Екатерина убрал(-а) тег старт вехи Pro;
2026-04-28 15:46:00: Екатерина добавил(-а) тег страт-п-с-26-09;
2026-04-28 16:11:32: Екатерина изменил(-а) дату на 18.05.2026;
2026-04-28 16:11:35: Екатерина изменил(-а) дату на 21.05.2026;
2026-04-28 16:11:38: Екатерина изменил(-а) дату на 18.05.2026;
2026-04-28 16:11:41: Екатерина изменил(-а) дату на 18.05.2026 - 18.05.2026;
2026-04-28 16:11:42: Екатерина изменил(-а) дату на 18.05.2026 - 19.05.2026;
2026-04-28 17:13:35: Екатерина изменил(-а) название на 2.01. Провести Презентацию проекта на Первичном совещании</t>
  </si>
  <si>
    <t>4.02. Получить от продюсера Тизер на разработку сайта</t>
  </si>
  <si>
    <t>28.04.2026 11:48:42</t>
  </si>
  <si>
    <t>2026-04-28 11:48:42: Екатерина создал(-а) задачу;
2026-04-28 11:50:10: Екатерина изменил(-а) название на 4.2. Получить от продюсера Тизер на разработку сайта;
2026-04-28 17:29:59: Екатерина изменил(-а) статус на Выполнено;
2026-04-28 17:30:01: Екатерина изменил(-а) статус на Не выполнено;
2026-04-28 18:13:25: Екатерина изменил(-а) название на 4.02. Получить от продюсера Тизер на разработку сайта;
2026-04-28 18:42:31: Екатерина переместил(-а) задачу в проекте ЛИЧНО сентябрь 24.09.2026 в колонку Дивизион Конференции / К работе;
2026-04-29 11:31:00: Екатерина изменил(-а) дату на 22.05.2026;
2026-04-29 11:31:05: Екатерина изменил(-а) дату на 22.05.2026 - 29.05.2026;
2026-04-29 11:31:08: Екатерина изменил(-а) дату на 25.05.2026 - 29.05.2026;
2026-04-29 11:31:13: Екатерина изменил(-а) дату на 25.05.2026 - 28.05.2026;
2026-04-29 13:23:19: Екатерина добавил(-а) тег PRE;
2026-04-29 13:23:21: Екатерина добавил(-а) тег лидген;
2026-04-29 13:23:22: Екатерина добавил(-а) тег страт-п-с-26-09;
2026-04-30 14:43:51: Екатерина убрал(-а) тег лидген;
2026-04-30 14:43:52: Екатерина убрал(-а) тег страт-п-с-26-09;
2026-04-30 14:43:59: Екатерина добавил(-а) тег Лидген;
2026-04-30 14:44:00: Екатерина добавил(-а) тег страт-п-с-26-09</t>
  </si>
  <si>
    <t>28.04.2026 11:48:28</t>
  </si>
  <si>
    <t>2026-04-28 11:48:29: Екатерина создал(-а) задачу;
2026-04-28 11:50:18: Екатерина изменил(-а) название на 4.3. Для проведение маркетингового анализа и разработки семантического ядра изучить полученные от продюсеров результаты кабинетного исследования;
2026-04-28 18:18:15: Екатерина изменил(-а) название на 4.03. Для проведение маркетингового анализа и разработки семантического ядра изучить полученные от продюсеров результаты кабинетного исследования;
2026-04-28 18:18:21: Екатерина изменил(-а) название на 4.03.;
2026-04-28 18:18:23: Екатерина изменил(-а) название на 4.03. Подготовить;
2026-04-28 18:18:28: Екатерина изменил(-а) название на 4.03. Подготовить семантическое ядро;
2026-04-28 18:18:38: Екатерина добавил(-а) подзадачу #454 4.03.1. Для проведение маркетингового анализа и разработки семантического ядра изучить полученные от продюсеров результаты кабинетного исследования;
2026-04-28 18:42:45: Екатерина переместил(-а) задачу в проекте ЛИЧНО сентябрь 24.09.2026 в колонку Дивизион Конференции / К работе;
2026-04-29 11:31:29: Екатерина изменил(-а) дату на 30.05.2026;
2026-04-29 11:31:32: Екатерина изменил(-а) дату на 30.05.2026 - 02.06.2026;
2026-04-29 11:31:34: Екатерина изменил(-а) дату на 01.06.2026 - 02.06.2026;
2026-04-29 11:31:37: Екатерина изменил(-а) дату на 01.06.2026 - 04.06.2026;
2026-04-29 13:23:25: Екатерина добавил(-а) тег PRE;
2026-04-29 13:23:27: Екатерина добавил(-а) тег лидген;
2026-04-29 13:23:28: Екатерина добавил(-а) тег страт-п-с-26-09;
2026-04-30 14:44:05: Екатерина убрал(-а) тег лидген;
2026-04-30 14:44:09: Екатерина убрал(-а) тег страт-п-с-26-09;
2026-04-30 14:44:12: Екатерина добавил(-а) тег Лидген;
2026-04-30 14:44:13: Екатерина добавил(-а) тег страт-п-с-26-09</t>
  </si>
  <si>
    <t>4.04. Опубликовать утвержденный с ШП Тизер сайт, настроить лид-форму 
в календаре</t>
  </si>
  <si>
    <t>28.04.2026 11:48:17</t>
  </si>
  <si>
    <t>2026-04-28 11:48:17: Екатерина создал(-а) задачу;
2026-04-28 11:50:27: Екатерина изменил(-а) название на 4.4. Утвержденный с ШП Тизер сайт опубликовать, настроена лид-форма 
в календаре на соответствующем сайте компании;
2026-04-28 11:50:32: Екатерина изменил(-а) название на 4.4. ОпубликоватьУтвержденный с ШП Тизер сайт опубликовать, настроена лид-форма 
в календаре на соответствующем сайте компании;
2026-04-28 11:50:33: Екатерина изменил(-а) название на 4.4. Опубликовать Утвержденный с ШП Тизер сайт опубликовать, настроена лид-форма 
в календаре на соответствующем сайте компании;
2026-04-28 11:50:35: Екатерина изменил(-а) название на 4.4. Опубликовать утвержденный с ШП Тизер сайт опубликовать, настроена лид-форма 
в календаре на соответствующем сайте компании;
2026-04-28 11:50:40: Екатерина изменил(-а) название на 4.4. Опубликовать утвержденный с ШП Тизер сайт, настроена лид-форма 
в календаре на соответствующем сайте компании;
2026-04-28 11:50:42: Екатерина изменил(-а) название на 4.4. Опубликовать утвержденный с ШП Тизер сайт, настроить лид-форма 
в календаре на соответствующем сайте компании;
2026-04-28 11:50:46: Екатерина изменил(-а) название на 4.4. Опубликовать утвержденный с ШП Тизер сайт, настроить лид-форму 
в календаре на соответствующем сайте компании;
2026-04-28 18:19:28: Екатерина изменил(-а) название на 4.4. Опубликовать утвержденный с ШП Тизер сайт, настроить лид-форму 
в календаре;
2026-04-28 18:19:58: Екатерина изменил(-а) название на 4.04. Опубликовать утвержденный с ШП Тизер сайт, настроить лид-форму 
в календаре;
2026-04-28 18:38:00: Екатерина добавил(-а) подзадачу #208 4.05. Проанализировать полученные от продюсеров результаты глубинного исследования;
2026-04-28 18:39:24: Екатерина удалил(-а) подзадачу #208 4.05. Проанализировать полученные от продюсеров результаты глубинного исследования;
2026-04-28 18:42:50: Екатерина переместил(-а) задачу в проекте ЛИЧНО сентябрь 24.09.2026 в колонку Дивизион Конференции / К работе;
2026-04-29 11:31:46: Екатерина изменил(-а) дату на 02.06.2026;
2026-04-29 11:31:48: Екатерина изменил(-а) дату на 01.06.2026 - 02.06.2026;
2026-04-29 11:31:50: Екатерина изменил(-а) дату на 01.06.2026 - 04.06.2026;
2026-04-29 13:23:33: Екатерина добавил(-а) тег PRE;
2026-04-29 13:23:35: Екатерина добавил(-а) тег лидген;
2026-04-29 13:23:36: Екатерина добавил(-а) тег страт-п-с-26-09;
2026-04-29 13:24:19: Екатерина убрал(-а) тег лидген;
2026-04-29 13:24:22: Екатерина добавил(-а) тег Лидген;
2026-04-30 14:42:38: Екатерина убрал(-а) тег страт-п-с-26-09;
2026-04-30 14:42:41: Екатерина добавил(-а) тег страт-п-с-26-09</t>
  </si>
  <si>
    <t>28.04.2026 11:47:45</t>
  </si>
  <si>
    <t>2026-04-28 11:47:46: Екатерина создал(-а) задачу;
2026-04-28 11:52:11: Екатерина изменил(-а) название на 4.6. Получить от продюсеров и проанализирована Концепция и Програма, заданы вопросы по логике и получены ответы;
2026-04-28 11:52:15: Екатерина изменил(-а) название на 4.6. Получить от продюсеров и проанализировать Концепция и Програма, заданы вопросы по логике и получены ответы;
2026-04-28 11:52:18: Екатерина изменил(-а) название на 4.6. Получить от продюсеров и проанализировать Концепцию и Програма, заданы вопросы по логике и получены ответы;
2026-04-28 11:52:21: Екатерина изменил(-а) название на 4.6. Получить от продюсеров и проанализировать Концепцию и Программа, заданы вопросы по логике и получены ответы;
2026-04-28 11:52:24: Екатерина изменил(-а) название на 4.6. Получить от продюсеров и проанализировать Концепцию и Программу, заданы вопросы по логике и получены ответы;
2026-04-28 11:52:28: Екатерина изменил(-а) название на 4.6. Получить от продюсеров и проанализировать Концепцию и Программу, задать вопросы по логике и получены ответы;
2026-04-28 11:52:33: Екатерина изменил(-а) название на 4.6. Получить от продюсеров и проанализировать Концепцию и Программу, задать вопросы по логике и получить ответы;
2026-04-28 18:22:12: Екатерина изменил(-а) название на 4.06. Получить от продюсеров и проанализировать Концепцию и Программу, задать вопросы по логике и получить ответы;
2026-04-28 18:22:41: Екатерина добавил(-а) подзадачу #456 4.06.1. Получить от продюсеров и проанализировать Концепцию и Программу;
2026-04-28 18:22:59: Екатерина изменил(-а) название на 4.06. Получить от продюсеров и проанализировать Концепцию и Программу;
2026-04-28 18:42:53: Екатерина переместил(-а) задачу в проекте ЛИЧНО сентябрь 24.09.2026 в колонку Дивизион Конференции / К работе;
2026-04-29 11:31:57: Екатерина изменил(-а) дату на 01.06.2026;
2026-04-29 11:32:06: Екатерина изменил(-а) дату на 01.06.2026 - 14.06.2026;
2026-04-29 11:32:09: Екатерина изменил(-а) дату на 08.06.2026 - 14.06.2026;
2026-04-29 11:32:12: Екатерина изменил(-а) дату на 08.06.2026 - 11.06.2026;
2026-04-29 13:23:47: Екатерина добавил(-а) тег PRE;
2026-04-29 13:23:49: Екатерина добавил(-а) тег Лидген;
2026-04-29 13:23:50: Екатерина добавил(-а) тег страт-п-с-26-09</t>
  </si>
  <si>
    <t>4.07. Пройти Обучение по Программе продюсеров и определить ЦА, логику и взаимосвязи</t>
  </si>
  <si>
    <t>28.04.2026 11:46:08</t>
  </si>
  <si>
    <t>2026-04-28 11:46:08: Екатерина создал(-а) задачу;
2026-04-28 11:47:25: Екатерина добавил(-а) подзадачу #206 Благодаря анализу материалов полученных на предыдущих неделях лидгеном достигнуть погруженности в тему;
2026-04-28 11:52:51: Екатерина изменил(-а) название на 4.7. Пройти Обучение по Программе продюсеров;
2026-04-28 18:23:30: Екатерина изменил(-а) название на 4.07. Пройти Обучение по Программе продюсеров;
2026-04-28 18:23:39: Екатерина добавил(-а) подзадачу #457 4.07.1. Благодаря анализу материалов полученных на предыдущих неделях лидгеном достигнуть погруженности в тему;
2026-04-28 18:27:30: Екатерина удалил(-а) подзадачу #206 Благодаря анализу материалов полученных на предыдущих неделях лидгеном достигнуть погруженности в тему;
2026-04-28 18:27:42: Екатерина удалил(-а) подзадачу #457 4.07.1. Благодаря анализу материалов полученных на предыдущих неделях лидгеном достигнуть погруженности в тему;
2026-04-28 18:28:18: Екатерина изменил(-а) название на 4.07. Пройти Обучение по Программе продюсеров и определить;
2026-04-28 18:28:21: Екатерина изменил(-а) название на 4.07. Пройти Обучение по Программе продюсеров и определить ЦА, логику;
2026-04-28 18:28:25: Екатерина изменил(-а) название на 4.07. Пройти Обучение по Программе продюсеров и определить ЦА, логику и взаимосвязи;
2026-04-28 18:42:56: Екатерина переместил(-а) задачу в проекте ЛИЧНО сентябрь 24.09.2026 в колонку Дивизион Конференции / К работе;
2026-04-29 11:32:28: Екатерина изменил(-а) дату на 14.06.2026;
2026-04-29 11:32:31: Екатерина изменил(-а) дату на 14.06.2026 - 16.06.2026;
2026-04-29 11:32:33: Екатерина изменил(-а) дату на 15.06.2026 - 16.06.2026;
2026-04-29 11:32:34: Екатерина изменил(-а) дату на 15.06.2026 - 18.06.2026;
2026-04-29 13:24:06: Екатерина добавил(-а) тег PRE;
2026-04-29 13:24:10: Екатерина добавил(-а) тег Лидген;
2026-04-29 13:24:12: Екатерина добавил(-а) тег страт-п-с-26-09;
2026-04-30 14:41:54: Екатерина убрал(-а) тег страт-п-с-26-09;
2026-04-30 14:41:58: Екатерина добавил(-а) тег страт-п-с-26-09</t>
  </si>
  <si>
    <t>4.08. Согласовать и утвердить с ШП,  продюсером и РГП  Медиа-план Лидгена</t>
  </si>
  <si>
    <t>28.04.2026 11:45:41</t>
  </si>
  <si>
    <t>2026-04-28 11:45:41: Екатерина создал(-а) задачу;
2026-04-28 11:53:14: Екатерина изменил(-а) название на 4.8. На основе понимания Программы Обучения
составить, согласован и утвержден с ШП, продюсером и РГП Медиа-план Лидгена;
2026-04-28 11:53:17: Екатерина изменил(-а) название на 4.8. На основе понимания Программы Обучения
составить, согласован и утвержден с ШП, продюсером и РГП Медиа-план Лидгена;
2026-04-28 11:53:19: Екатерина изменил(-а) название на 4.8. На основе понимания Программы Обучения
составить, согласовать и утвержден с ШП, продюсером и РГП Медиа-план Лидгена;
2026-04-28 11:53:23: Екатерина изменил(-а) название на 4.8. На основе понимания Программы Обучения
составить, согласовать и утвердить с ШП, продюсером и РГП Медиа-план Лидгена;
2026-04-28 18:28:48: Екатерина изменил(-а) название на 4.8. согласовать и утвердить с ШП, продюсером и РГП Медиа-план Лидгена;
2026-04-28 18:28:49: Екатерина изменил(-а) название на 4.8. Согласовать и утвердить с ШП, продюсером и РГП Медиа-план Лидгена;
2026-04-28 18:43:05: Екатерина переместил(-а) задачу в проекте ЛИЧНО сентябрь 24.09.2026 в колонку Дивизион Конференции / К работе;
2026-04-28 19:20:56: Екатерина изменил(-а) название на 4.08. Согласовать и утвердить с ШП, продюсером и РГП Медиа-план Лидгена;
2026-04-29 11:32:42: Екатерина изменил(-а) дату на 21.06.2026;
2026-04-29 11:32:44: Екатерина изменил(-а) дату на 21.06.2026 - 25.06.2026;
2026-04-29 11:32:46: Екатерина изменил(-а) дату на 22.06.2026 - 25.06.2026;
2026-04-29 13:25:15: Екатерина добавил(-а) тег PRE;
2026-04-29 13:25:16: Екатерина добавил(-а) тег Операционный директор;
2026-04-29 13:25:18: Екатерина добавил(-а) тег страт-п-с-26-09;
2026-04-29 13:25:24: Екатерина убрал(-а) тег Операционный директор;
2026-04-29 13:25:24: Екатерина добавил(-а) тег Лидген;
2026-04-30 14:42:07: Екатерина убрал(-а) тег страт-п-с-26-09;
2026-04-30 14:42:11: Екатерина добавил(-а) тег ШП;
2026-04-30 14:42:16: Екатерина убрал(-а) тег ШП;
2026-04-30 14:42:19: Екатерина добавил(-а) тег страт-п-с-26-09</t>
  </si>
  <si>
    <t>4.09. Сделать распределение задач Плана по неделям проекта</t>
  </si>
  <si>
    <t>28.04.2026 11:45:29</t>
  </si>
  <si>
    <t>2026-04-28 11:45:30: Екатерина создал(-а) задачу;
2026-04-28 11:53:30: Екатерина изменил(-а) название на 4.9. Сделать распределение задач Плана по неделям проекта;
2026-04-28 18:43:08: Екатерина переместил(-а) задачу в проекте ЛИЧНО сентябрь 24.09.2026 в колонку Дивизион Конференции / К работе;
2026-04-28 19:21:00: Екатерина изменил(-а) название на 4.09. Сделать распределение задач Плана по неделям проекта;
2026-04-29 11:32:56: Екатерина изменил(-а) дату на 23.06.2026;
2026-04-29 11:32:58: Екатерина изменил(-а) дату на 22.06.2026 - 23.06.2026;
2026-04-29 11:33:00: Екатерина изменил(-а) дату на 22.06.2026 - 25.06.2026;
2026-04-29 13:25:28: Екатерина добавил(-а) тег PRE;
2026-04-29 13:25:31: Екатерина добавил(-а) тег Лидген;
2026-04-29 13:25:32: Екатерина добавил(-а) тег страт-п-с-26-09</t>
  </si>
  <si>
    <t>4.10. Сдать отчет по Плану лидгена: KPI - 10% выполнения</t>
  </si>
  <si>
    <t>28.04.2026 11:42:59</t>
  </si>
  <si>
    <t>PRO, Лидген, страт-п-с-26-09</t>
  </si>
  <si>
    <t>2026-04-28 11:43:00: Екатерина создал(-а) задачу;
2026-04-28 11:43:27: Екатерина изменил(-а) название на 4.10. Сдан еженедельный отчет по всем активностям лидгена - сверка с планом;
2026-04-28 11:53:44: Екатерина изменил(-а) название на 4.10. Сдать еженедельный отчет по всем активностям лидгена - сверка с планом;
2026-04-28 11:53:48: Екатерина изменил(-а) название на 4.10. Сдать еженедельный отчет по всем активностям лидгена - сверка с планом -;
2026-04-28 11:53:54: Екатерина изменил(-а) название на 4.10. Сдать еженедельный отчет по всем активностям лидгена - сверка с планом;
2026-04-28 11:53:55: Екатерина изменил(-а) название на 4.10. Сдать еженедельный отчет по всем активностям лидгена - сверка с планом по;
2026-04-28 11:53:57: Екатерина изменил(-а) название на 4.10. Сдать еженедельный отчет по всем активностям лидгена - сверка с планом по KPI;
2026-04-28 11:54:01: Екатерина изменил(-а) название на 4.10. Сдать еженедельный отчет по всем активностям лидгена - сверка с планом по KPI - 10;
2026-04-28 11:54:03: Екатерина изменил(-а) название на 4.10. Сдать еженедельный отчет по всем активностям лидгена - сверка с планом по KPI - 10%;
2026-04-28 11:54:07: Екатерина изменил(-а) название на 4.10. Сдать еженедельный отчет по всем активностям лидгена - сверка с планом по KPI - 10% d;
2026-04-28 11:54:12: Екатерина изменил(-а) название на 4.10. Сдать еженедельный отчет по всем активностям лидгена - сверка с планом по KPI - 10%;
2026-04-28 11:54:12: Екатерина изменил(-а) название на 4.10. Сдать еженедельный отчет по всем активностям лидгена - сверка с планом по KPI - 10% от;
2026-04-28 11:54:13: Екатерина изменил(-а) название на 4.10. Сдать еженедельный отчет по всем активностям лидгена - сверка с планом по KPI - 10% о;
2026-04-28 11:54:15: Екатерина изменил(-а) название на 4.10. Сдать еженедельный отчет по всем активностям лидгена - сверка с планом по KPI - 10%;
2026-04-28 11:54:20: Екатерина изменил(-а) название на 4.10. Сдать еженедельный отчет по всем активностям лидгена - сверка с планом по KPI - выполненно 10%;
2026-04-28 11:54:21: Екатерина изменил(-а) название на 4.10. Сдать еженедельный отчет по всем активностям лидгена - сверка с планом по KPI - выполненн10%;
2026-04-28 11:54:22: Екатерина изменил(-а) название на 4.10. Сдать еженедельный отчет по всем активностям лидгена - сверка с планом по KPI - выполнен10%;
2026-04-28 11:54:23: Екатерина изменил(-а) название на 4.10. Сдать еженедельный отчет по всем активностям лидгена - сверка с планом по KPI - выполнено10%;
2026-04-28 11:54:24: Екатерина изменил(-а) название на 4.10. Сдать еженедельный отчет по всем активностям лидгена - сверка с планом по KPI - выполнено 10%;
2026-04-28 11:54:28: Екатерина изменил(-а) название на 4.10. Сдать еженедельный отчет по всем активностям лидгена - сверка с планом по KPI - выполнено 10% з;
2026-04-28 11:54:33: Екатерина изменил(-а) название на 4.10. Сдать еженедельный отчет по всем активностям лидгена - сверка с планом по KPI - выполнено 10% от всех запланированных;
2026-04-28 11:54:36: Екатерина изменил(-а) название на 4.10. Сдать еженедельный отчет по всем активностям лидгена - сверка с планом по KPI - выполнено 10% от всех запланированных активностей;
2026-04-28 18:13:43: Екатерина изменил(-а) название на 4.10. Сдатьотчет по всем активностям лидгена - сверка с планом по KPI - выполнено 10% от всех запланированных активностей;
2026-04-28 18:13:45: Екатерина изменил(-а) название на 4.10. Сдать отчет по всем активностям лидгена - сверка с планом по KPI - выполнено 10% от всех запланированных активностей;
2026-04-28 18:13:54: Екатерина изменил(-а) название на 4.10. Сдать отчет по KPI - выполнено 10% от всех запланированных активностей;
2026-04-28 18:13:57: Екатерина изменил(-а) название на 4.10. Сдать отчет по План улидгена KPI - выполнено 10% от всех запланированных активностей;
2026-04-28 18:14:01: Екатерина изменил(-а) название на 4.10. Сдать отчет по Планулидгена KPI - выполнено 10% от всех запланированных активностей;
2026-04-28 18:14:02: Екатерина изменил(-а) название на 4.10. Сдать отчет по Плану лидгена KPI - выполнено 10% от всех запланированных активностей;
2026-04-28 18:14:13: Екатерина изменил(-а) название на 4.10. Сдать отчет по Плану лидгена: KPI - выполнено 10% от всех запланированных активностей;
2026-04-28 18:14:19: Екатерина изменил(-а) название на 4.10. Сдать отчет по Плану лидгена: KPI - 10% от всех запланированных активностей;
2026-04-28 18:14:22: Екатерина изменил(-а) название на 4.10. Сдать отчет по Плану лидгена: KPI - 10% выполнения;
2026-04-28 18:35:25: Екатерина добавил(-а) тег PRO;
2026-04-28 18:35:34: Екатерина добавил(-а) тег страт-п-с-26-09;
2026-04-28 18:37:26: Екатерина добавил(-а) тег Лидген;
2026-04-28 18:43:11: Екатерина переместил(-а) задачу в проекте ЛИЧНО сентябрь 24.09.2026 в колонку Дивизион Конференции / К работе;
2026-04-29 11:13:39: Екатерина изменил(-а) дату на 27.07.2026;
2026-04-29 11:13:39: Екатерина изменил(-а) дату на 27.07.2026 - 30.07.2026;
2026-04-30 14:41:29: Екатерина убрал(-а) тег страт-п-с-26-09;
2026-04-30 14:41:33: Екатерина добавил(-а) тег страт-п-с-26-09</t>
  </si>
  <si>
    <t>4.11. Сдать отчет по Плану лидгена: KPI - 20% выполнения</t>
  </si>
  <si>
    <t>28.04.2026 11:42:58</t>
  </si>
  <si>
    <t>2026-04-28 11:42:58: Екатерина создал(-а) задачу;
2026-04-28 11:43:32: Екатерина изменил(-а) название на 4.11. Сдан еженедельный отчет по всем активностям лидгена - сверка с планом;
2026-04-28 11:54:47: Екатерина изменил(-а) название на 4.11. 4.10. Сдать еженедельный отчет по всем активностям лидгена - сверка с планом по KPI - выполнено 10% от всех запланированных активностей;
2026-04-28 11:54:52: Екатерина изменил(-а) название на 4.11. Сдать еженедельный отчет по всем активностям лидгена - сверка с планом по KPI - выполнено 10% от всех запланированных активностей;
2026-04-28 11:54:55: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
2026-04-28 18:14:32: Екатерина изменил(-а) название на 4.11. Сдать отчет по Плану лидгена: KPI - 10% выполнения;
2026-04-28 18:14:38: Екатерина изменил(-а) название на 4.11. Сдать отчет по Плану лидгена: KPI - 20% выполнения;
2026-04-28 18:43:14: Екатерина переместил(-а) задачу в проекте ЛИЧНО сентябрь 24.09.2026 в колонку Дивизион Конференции / К работе;
2026-04-29 11:13:50: Екатерина изменил(-а) дату на 03.08.2026;
2026-04-29 11:13:51: Екатерина изменил(-а) дату на 07.08.2026;
2026-04-29 11:13:54: Екатерина изменил(-а) дату на 03.08.2026 - 07.08.2026;
2026-04-29 11:13:56: Екатерина изменил(-а) дату на 03.08.2026 - 06.08.2026;
2026-04-29 13:25:37: Екатерина добавил(-а) тег PRO;
2026-04-29 13:25:41: Екатерина добавил(-а) тег страт-п-с-26-09;
2026-04-29 13:25:48: Екатерина добавил(-а) тег Лидген;
2026-04-30 14:41:40: Екатерина убрал(-а) тег страт-п-с-26-09;
2026-04-30 14:41:43: Екатерина добавил(-а) тег страт-п-с-26-09</t>
  </si>
  <si>
    <t>4.11. Сдать отчет по Плану лидгена: KPI - 30% выполнения</t>
  </si>
  <si>
    <t>28.04.2026 11:42:57</t>
  </si>
  <si>
    <t>2026-04-28 11:42:58: Екатерина создал(-а) задачу;
2026-04-28 11:43:37: Екатерина изменил(-а) название на 4.12. Сдан еженедельный отчет по всем активностям лидгена - сверка с планом;
2026-04-28 11:55:14: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
2026-04-28 11:55:17: Екатерина изменил(-а) название на 4.11. Сдать еженедельный отчет по всем активностям лидгена - сверка с планом по KPI - выполнено 30% от всех запланированных активностей;
2026-04-28 18:11:18: Екатерина изменил(-а) дату на 28.04.2026;
2026-04-28 18:11:29: Екатерина изменил(-а) дату на 06.05.2026 - 13.05.2026;
2026-04-28 18:14:44: Екатерина изменил(-а) название на 4.11. Сдать отчет по Плану лидгена: KPI - 10% выполнения;
2026-04-28 18:14:48: Екатерина изменил(-а) название на 4.11. Сдать отчет по Плану лидгена: KPI - 30% выполнения;
2026-04-28 18:43:19: Екатерина переместил(-а) задачу в проекте ЛИЧНО сентябрь 24.09.2026 в колонку Дивизион Конференции / К работе;
2026-04-29 11:14:21: Екатерина изменил(-а) дату на 13.05.2026 - 10.08.2026;
2026-04-29 11:14:21: Екатерина изменил(-а) дату на 13.05.2026 - 13.08.2026;
2026-04-29 11:14:24: Екатерина изменил(-а) дату на 10.08.2026 - 13.08.2026;
2026-04-29 13:25:51: Екатерина добавил(-а) тег PRO;
2026-04-29 13:25:55: Екатерина добавил(-а) тег Лидген;
2026-04-29 13:25:55: Екатерина добавил(-а) тег страт-п-с-26-09</t>
  </si>
  <si>
    <t>4.13. Сдать отчет по Плану лидгена: KPI - 40% выполнения</t>
  </si>
  <si>
    <t>28.04.2026 11:42:56</t>
  </si>
  <si>
    <t>2026-04-28 11:42:56: Екатерина создал(-а) задачу;
2026-04-28 11:43:41: Екатерина изменил(-а) название на 4.13. Сдан еженедельный отчет по всем активностям лидгена - сверка с планом;
2026-04-28 11:56:40: Екатерина изменил(-а) название на 4.13. Сдать еженедельный отчет по всем активностям лидгена - сверка с планом по KPI - выполнено 30% от всех запланированных активностей;
2026-04-28 18:14:55: Екатерина изменил(-а) название на 4.13. Сдать отчет по Плану лидгена: KPI - 10% выполнения;
2026-04-28 18:14:58: Екатерина изменил(-а) название на 4.13. Сдать отчет по Плану лидгена: KPI - 40% выполнения;
2026-04-28 18:43:20: Екатерина переместил(-а) задачу в проекте ЛИЧНО сентябрь 24.09.2026 в колонку Дивизион Конференции / К работе;
2026-04-29 11:14:39: Екатерина изменил(-а) дату на 17.08.2026 - 17.08.2026;
2026-04-29 11:14:40: Екатерина изменил(-а) дату на 17.08.2026 - 20.08.2026;
2026-04-29 13:25:58: Екатерина добавил(-а) тег PRO;
2026-04-29 13:26:01: Екатерина добавил(-а) тег Лидген;
2026-04-29 13:26:01: Екатерина добавил(-а) тег страт-п-с-26-09</t>
  </si>
  <si>
    <t>4.14. Сдать отчет по Плану лидгена: KPI - 50% выполнения</t>
  </si>
  <si>
    <t>28.04.2026 11:42:55</t>
  </si>
  <si>
    <t>2026-04-28 11:42:55: Екатерина создал(-а) задачу;
2026-04-28 11:43:53: Екатерина изменил(-а) название на 4.14. Сдан еженедельный отчет по всем активностям лидгена - сверка с планом;
2026-04-28 18:15:05: Екатерина изменил(-а) название на 4.14. Сдать отчет по Плану лидгена: KPI - 10% выполнения;
2026-04-28 18:15:08: Екатерина изменил(-а) название на 4.14. Сдать отчет по Плану лидгена: KPI - 50% выполнения;
2026-04-28 18:20:19: Екатерина изменил(-а) дату на 28.04.2026;
2026-04-28 18:43:25: Екатерина переместил(-а) задачу в проекте ЛИЧНО сентябрь 24.09.2026 в колонку Дивизион Конференции / К работе;
2026-04-29 11:14:57: Екатерина изменил(-а) дату на 29.04.2026 - 24.08.2026;
2026-04-29 11:14:59: Екатерина изменил(-а) дату на 29.04.2026 - 27.08.2026;
2026-04-29 11:15:14: Екатерина изменил(-а) дату на 24.08.2026 - 27.08.2026;
2026-04-29 13:26:03: Екатерина добавил(-а) тег PRO;
2026-04-29 13:26:07: Екатерина добавил(-а) тег Лидген;
2026-04-29 13:26:07: Екатерина добавил(-а) тег страт-п-с-26-09</t>
  </si>
  <si>
    <t>4.15. Сдать отчет по Плану лидгена: KPI - 60% выполнения</t>
  </si>
  <si>
    <t>28.04.2026 11:42:52</t>
  </si>
  <si>
    <t>2026-04-28 11:42:52: Екатерина создал(-а) задачу;
2026-04-28 11:44:08: Екатерина изменил(-а) название на 4.15. Сдан еженедельный отчет по всем активностям лидгена - сверка с планом;
2026-04-28 18:15:14: Екатерина изменил(-а) название на 4.15. Сдать отчет по Плану лидгена: KPI - 10% выполнения;
2026-04-28 18:15:17: Екатерина изменил(-а) название на 4.15. Сдать отчет по Плану лидгена: KPI - 60% выполнения;
2026-04-28 18:43:26: Екатерина переместил(-а) задачу в проекте ЛИЧНО сентябрь 24.09.2026 в колонку Дивизион Конференции / К работе;
2026-04-29 11:17:01: Екатерина изменил(-а) дату на 31.08.2026;
2026-04-29 11:17:03: Екатерина изменил(-а) дату на 03.09.2026;
2026-04-29 11:17:13: Екатерина изменил(-а) дату на 31.08.2026 - 03.09.2026;
2026-04-29 13:26:10: Екатерина добавил(-а) тег PRO;
2026-04-29 13:26:11: Екатерина добавил(-а) тег Лидген;
2026-04-29 13:26:13: Екатерина добавил(-а) тег страт-п-с-26-09</t>
  </si>
  <si>
    <t>4.16. Сдать отчет по Плану лидгена: KPI - 70% выполнения</t>
  </si>
  <si>
    <t>28.04.2026 11:42:50</t>
  </si>
  <si>
    <t>2026-04-28 11:42:51: Екатерина создал(-а) задачу;
2026-04-28 11:44:17: Екатерина изменил(-а) название на 4.16. Сдан еженедельный отчет по всем активностям лидгена - сверка с планом;
2026-04-28 18:15:25: Екатерина изменил(-а) название на 4.16. Сдать отчет по Плану лидгена: KPI - 10% выполнения;
2026-04-28 18:15:27: Екатерина изменил(-а) название на 4.16. Сдать отчет по Плану лидгена: KPI - 80% выполнения;
2026-04-28 18:15:29: Екатерина изменил(-а) название на 4.16. Сдать отчет по Плану лидгена: KPI - 70% выполнения;
2026-04-28 18:43:29: Екатерина переместил(-а) задачу в проекте ЛИЧНО сентябрь 24.09.2026 в колонку Дивизион Конференции / К работе;
2026-04-29 11:17:25: Екатерина изменил(-а) дату на 07.09.2026 - 07.09.2026;
2026-04-29 11:17:27: Екатерина изменил(-а) дату на 07.09.2026 - 10.09.2026;
2026-04-29 13:26:17: Екатерина добавил(-а) тег PRO;
2026-04-29 13:26:22: Екатерина добавил(-а) тег Лидген;
2026-04-29 13:26:22: Екатерина добавил(-а) тег страт-п-с-26-09</t>
  </si>
  <si>
    <t>4.17. Сдать отчет по Плану лидгена: KPI - 80-100% выполнения</t>
  </si>
  <si>
    <t>28.04.2026 11:42:48</t>
  </si>
  <si>
    <t>2026-04-28 11:42:48: Екатерина создал(-а) задачу;
2026-04-28 11:44:23: Екатерина изменил(-а) название на 4.17. Сдан еженедельный отчет по всем активностям лидгена - сверка с планом;
2026-04-28 18:15:35: Екатерина изменил(-а) название на 4.17. Сдать отчет по Плану лидгена: KPI - 10% выполнения;
2026-04-28 18:15:39: Екатерина изменил(-а) название на 4.17. Сдать отчет по Плану лидгена: KPI - 70% выполнения;
2026-04-28 18:16:11: Екатерина изменил(-а) название на 4.17. Сдать отчет по Плану лидгена: KPI - 80% выполнения;
2026-04-28 18:43:40: Екатерина переместил(-а) задачу в проекте ЛИЧНО сентябрь 24.09.2026 в колонку Дивизион Конференции / К работе;
2026-04-29 11:17:37: Екатерина изменил(-а) дату на 14.09.2026 - 14.09.2026;
2026-04-29 11:17:40: Екатерина изменил(-а) дату на 14.09.2026 - 17.09.2026;
2026-04-29 11:43:27: Екатерина изменил(-а) название на 4.17. Сдать отчет по Плану лидгена: KPI - 80-100% выполнения;
2026-04-29 13:26:25: Екатерина добавил(-а) тег PRO;
2026-04-29 13:26:28: Екатерина добавил(-а) тег Лидген;
2026-04-29 13:26:28: Екатерина добавил(-а) тег страт-п-с-26-09</t>
  </si>
  <si>
    <t>4.18. Сдать отчет по Плану лидгена: KPI - 90-100% выполнения</t>
  </si>
  <si>
    <t>21.09.2026 03:00</t>
  </si>
  <si>
    <t>28.04.2026 11:42:44</t>
  </si>
  <si>
    <t>D, Лидген, страт-п-с-26-09</t>
  </si>
  <si>
    <t>2026-04-28 11:42:45: Екатерина создал(-а) задачу;
2026-04-28 11:44:36: Екатерина изменил(-а) название на 4.18. Сдан еженедельный отчет по всем активностям лидгена - сверка с планом;
2026-04-28 18:16:16: Екатерина изменил(-а) название на 4.18. Сдать отчет по Плану лидгена: KPI - 10% выполнения;
2026-04-28 18:16:18: Екатерина изменил(-а) название на 4.18. Сдать отчет по Плану лидгена: KPI - 90% выполнения;
2026-04-28 18:16:21: Екатерина изменил(-а) название на 4.18. Сдать отчет по Плану лидгена: KPI - 90-100% выполнения;
2026-04-28 18:43:43: Екатерина переместил(-а) задачу в проекте ЛИЧНО сентябрь 24.09.2026 в колонку Дивизион Конференции / К работе;
2026-04-29 11:16:20: Екатерина изменил(-а) дату на 24.09.2026;
2026-04-29 11:16:23: Екатерина изменил(-а) дату на 21.09.2026 - 24.09.2026;
2026-04-29 11:16:41: Екатерина добавил(-а) тег D;
2026-04-29 13:26:36: Екатерина добавил(-а) тег Лидген;
2026-04-29 13:26:36: Екатерина добавил(-а) тег страт-п-с-26-09</t>
  </si>
  <si>
    <t>4.19. Подготовлен Маркетинговый пост-отчет</t>
  </si>
  <si>
    <t>28.04.2026 11:41:52</t>
  </si>
  <si>
    <t>POST, Лидген, страт-п-с-26-09</t>
  </si>
  <si>
    <t>2026-04-28 11:41:53: Екатерина создал(-а) задачу;
2026-04-28 11:44:47: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
2026-04-28 18:16:32: Екатерина изменил(-а) название на 4.19. Подготовить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
2026-04-28 18:16:44: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
2026-04-28 18:17:03: Екатерина изменил(-а) название на 4.19. Подготовлен Маркетинговый пост-отчет,;
2026-04-28 18:17:04: Екатерина изменил(-а) название на 4.19. Подготовлен Маркетинговый пост-отчет;
2026-04-28 18:43:45: Екатерина переместил(-а) задачу в проекте ЛИЧНО сентябрь 24.09.2026 в колонку Дивизион Конференции / К работе;
2026-04-29 11:16:43: Екатерина добавил(-а) тег POST;
2026-04-29 11:17:57: Екатерина изменил(-а) дату на 28.09.2026 - 28.09.2026;
2026-04-29 11:17:58: Екатерина изменил(-а) дату на 28.09.2026 - 01.10.2026;
2026-04-29 13:26:53: Екатерина добавил(-а) тег Лидген;
2026-04-29 13:26:54: Екатерина добавил(-а) тег Продюсер;
2026-04-29 13:26:56: Екатерина убрал(-а) тег Продюсер;
2026-04-29 13:26:58: Екатерина добавил(-а) тег страт-п-с-26-09</t>
  </si>
  <si>
    <t>4.20. Подготовить отчет по косякам</t>
  </si>
  <si>
    <t>28.04.2026 11:41:33</t>
  </si>
  <si>
    <t>2026-04-28 11:41:33: Екатерина создал(-а) задачу;
2026-04-28 11:44:54: Екатерина изменил(-а) название на 4.20. Подготовлен отчет по косякам;
2026-04-28 18:18:03: Екатерина изменил(-а) название на 4.20. Подготовить отчет по косякам;
2026-04-28 18:43:48: Екатерина переместил(-а) задачу в проекте ЛИЧНО сентябрь 24.09.2026 в колонку Дивизион Конференции / К работе;
2026-04-29 11:16:47: Екатерина добавил(-а) тег POST;
2026-04-29 11:33:27: Екатерина изменил(-а) дату на 29.09.2026;
2026-04-29 11:33:32: Екатерина изменил(-а) дату на 27.09.2026 - 29.09.2026;
2026-04-29 11:33:36: Екатерина изменил(-а) дату на 27.09.2026 - 02.10.2026;
2026-04-29 11:33:39: Екатерина изменил(-а) дату на 28.09.2026 - 02.10.2026;
2026-04-29 11:33:39: Екатерина изменил(-а) дату на 28.09.2026 - 01.10.2026;
2026-04-29 13:27:03: Екатерина добавил(-а) тег Лидген;
2026-04-29 13:27:04: Екатерина добавил(-а) тег страт-п-с-26-09</t>
  </si>
  <si>
    <t>4.21. Опубликовать пост-релиз в блог, скрыта программа и добавлен анонс на следующее мероприятие</t>
  </si>
  <si>
    <t>28.04.2026 11:41:22</t>
  </si>
  <si>
    <t>2026-04-28 11:41:23: Екатерина создал(-а) задачу;
2026-04-28 11:44:58: Екатерина изменил(-а) название на 4.21. Опубликован пост-релиз в блог, скрыта программа и добавлен анонс на следующее мероприятие;
2026-04-28 18:18:08: Екатерина изменил(-а) название на 4.21. Опубликовать пост-релиз в блог, скрыта программа и добавлен анонс на следующее мероприятие;
2026-04-28 18:43:51: Екатерина переместил(-а) задачу в проекте ЛИЧНО сентябрь 24.09.2026 в колонку Дивизион Конференции / К работе;
2026-04-29 11:16:51: Екатерина добавил(-а) тег POST;
2026-04-29 11:33:41: Екатерина изменил(-а) дату на 29.09.2026;
2026-04-29 11:33:43: Екатерина изменил(-а) дату на 29.09.2026 - 01.10.2026;
2026-04-29 11:33:44: Екатерина изменил(-а) дату на 28.09.2026 - 01.10.2026;
2026-04-29 13:27:09: Екатерина добавил(-а) тег Лидген;
2026-04-29 13:27:10: Екатерина добавил(-а) тег страт-п-с-26-09</t>
  </si>
  <si>
    <t>5.01. Получить вводные на Первичном совещании</t>
  </si>
  <si>
    <t>28.04.2026 11:22:35</t>
  </si>
  <si>
    <t>Нелли</t>
  </si>
  <si>
    <t>Екатерина, Нелли</t>
  </si>
  <si>
    <t>PRE, РГП, страт-п-с-26-09</t>
  </si>
  <si>
    <t>2026-04-28 11:22:36: Екатерина создал(-а) задачу;
2026-04-28 11:25:54: Екатерина добавил(-а) тег PRE;
2026-04-28 12:31:14: Екатерина изменил(-а) дату на 01.04.2026;
2026-04-28 12:31:16: Екатерина изменил(-а) дату на 05.04.2026;
2026-04-28 12:31:19: Екатерина изменил(-а) дату на 05.04.2026 - 09.04.2026;
2026-04-28 12:31:37: Екатерина назначил(-а) Нелли исполнителем;
2026-04-28 18:43:55: Екатерина переместил(-а) задачу в проекте ЛИЧНО сентябрь 24.09.2026 в колонку Дивизион Конференции / К работе;
2026-04-28 18:44:00: Екатерина изменил(-а) название на 5.01. Получить вводные на Первичном совещании;
2026-04-29 10:01:05: Екатерина добавил(-а) тег РГП;
2026-04-29 10:01:19: Екатерина добавил(-а) тег страт-п-с-26-09;
2026-04-29 11:34:37: Екатерина изменил(-а) дату на 28.04.2026 - 29.04.2026;
2026-04-29 11:34:37: Екатерина изменил(-а) дату на 28.04.2026 - 03.05.2026;
2026-04-29 11:34:42: Екатерина изменил(-а) дату на 02.05.2026 - 03.05.2026;
2026-04-29 11:34:43: Екатерина изменил(-а) дату на 02.05.2026 - 07.05.2026;
2026-04-29 11:34:46: Екатерина изменил(-а) дату на 07.05.2026;
2026-04-29 11:34:48: Екатерина изменил(-а) дату на 07.05.2026 - 11.05.2026;
2026-04-29 11:34:52: Екатерина изменил(-а) дату на 10.05.2026 - 11.05.2026;
2026-04-29 11:34:55: Екатерина изменил(-а) дату на 10.05.2026 - 18.05.2026;
2026-04-29 11:34:58: Екатерина изменил(-а) дату на 18.05.2026;
2026-04-29 11:34:59: Екатерина изменил(-а) дату на 18.05.2026 - 19.05.2026</t>
  </si>
  <si>
    <t>5.02. Утвердить Пакеты и график повышения цен</t>
  </si>
  <si>
    <t>28.04.2026 11:22:22</t>
  </si>
  <si>
    <t>2026-04-28 11:22:22: Екатерина создал(-а) задачу;
2026-04-28 11:26:43: Екатерина добавил(-а) тег PRE;
2026-04-28 18:44:05: Екатерина изменил(-а) название на 5.02. Утвердить Пакеты и график повышения цен;
2026-04-28 18:44:19: Екатерина переместил(-а) задачу в проекте ЛИЧНО сентябрь 24.09.2026 в колонку Дивизион Конференции / К работе;
2026-04-29 11:34:10: Екатерина изменил(-а) дату на 28.04.2026;
2026-04-29 11:34:10: Екатерина изменил(-а) дату на 28.04.2026;
2026-04-29 11:34:15: Екатерина изменил(-а) дату на 28.04.2026 - 01.05.2026;
2026-04-29 11:35:12: Екатерина изменил(-а) дату на 28.04.2026 - 27.05.2026;
2026-04-29 11:35:17: Екатерина изменил(-а) дату на 25.05.2026 - 27.05.2026;
2026-04-29 11:35:20: Екатерина изменил(-а) дату на 25.05.2026 - 28.05.2026;
2026-04-29 13:27:18: Екатерина добавил(-а) тег РГП;
2026-04-29 13:27:18: Екатерина добавил(-а) тег Продюсер;
2026-04-29 13:27:21: Екатерина убрал(-а) тег Продюсер;
2026-04-29 13:27:21: Екатерина добавил(-а) тег страт-п-с-26-09;
2026-04-30 10:33:48: Екатерина назначил(-а) Нелли исполнителем</t>
  </si>
  <si>
    <t>5.03. Декомпозировать планы и занести в реестр</t>
  </si>
  <si>
    <t>28.04.2026 11:21:55</t>
  </si>
  <si>
    <t>2026-04-28 11:21:55: Екатерина создал(-а) задачу;
2026-04-28 11:26:48: Екатерина добавил(-а) тег PRE;
2026-04-28 18:44:09: Екатерина изменил(-а) название на 53. Декомпозировать планы и занести в реестр;
2026-04-28 18:44:12: Екатерина изменил(-а) название на 5.03. Декомпозировать планы и занести в реестр;
2026-04-28 18:44:21: Екатерина переместил(-а) задачу в проекте ЛИЧНО сентябрь 24.09.2026 в колонку Дивизион Конференции / К работе;
2026-04-29 11:35:25: Екатерина изменил(-а) дату на 26.05.2026;
2026-04-29 11:35:28: Екатерина изменил(-а) дату на 25.05.2026 - 26.05.2026;
2026-04-29 11:35:29: Екатерина изменил(-а) дату на 25.05.2026 - 28.05.2026;
2026-04-29 13:28:15: Екатерина добавил(-а) тег РГП;
2026-04-29 13:28:17: Екатерина добавил(-а) тег страт-п-с-26-09;
2026-04-30 10:33:54: Екатерина назначил(-а) Нелли исполнителем</t>
  </si>
  <si>
    <t>5.04. Утвердить Мотивацию  и занесети в документы</t>
  </si>
  <si>
    <t>28.04.2026 11:21:41</t>
  </si>
  <si>
    <t>2026-04-28 11:21:41: Екатерина создал(-а) задачу;
2026-04-28 11:26:53: Екатерина добавил(-а) тег PRE;
2026-04-28 17:35:58: Екатерина изменил(-а) название на 5.04. Утвердить Мотивацию и занесети в документы;
2026-04-28 18:44:24: Екатерина переместил(-а) задачу в проекте ЛИЧНО сентябрь 24.09.2026 в колонку Дивизион Конференции / К работе;
2026-04-29 12:37:22: Екатерина изменил(-а) дату на 30.05.2026;
2026-04-29 12:37:29: Екатерина изменил(-а) дату на 30.05.2026 - 04.06.2026;
2026-04-29 12:37:32: Екатерина изменил(-а) дату на 31.05.2026 - 04.06.2026;
2026-04-29 12:37:35: Екатерина изменил(-а) дату на 01.06.2026 - 04.06.2026;
2026-04-29 13:28:21: Екатерина добавил(-а) тег РГП;
2026-04-29 13:28:21: Екатерина добавил(-а) тег Продюсер;
2026-04-29 13:28:29: Екатерина убрал(-а) тег Продюсер;
2026-04-29 13:28:32: Екатерина добавил(-а) тег страт-п-с-26-09;
2026-04-30 10:33:57: Екатерина назначил(-а) Нелли исполнителем</t>
  </si>
  <si>
    <t>5.05. Формулировки передать в 1С</t>
  </si>
  <si>
    <t>28.04.2026 11:21:25</t>
  </si>
  <si>
    <t>2026-04-28 11:21:26: Екатерина создал(-а) задачу;
2026-04-28 11:27:06: Екатерина добавил(-а) тег PRE;
2026-04-28 17:33:43: Екатерина изменил(-а) название на 5.05. Формулировки передать в 1С;
2026-04-28 18:44:28: Екатерина переместил(-а) задачу в проекте ЛИЧНО сентябрь 24.09.2026 в колонку Дивизион Конференции / К работе;
2026-04-29 12:37:39: Екатерина изменил(-а) дату на 17.06.2026;
2026-04-29 12:59:19: Екатерина изменил(-а) дату на 14.06.2026 - 17.06.2026;
2026-04-29 12:59:27: Екатерина изменил(-а) дату на 01.06.2026 - 17.06.2026;
2026-04-29 12:59:36: Екатерина изменил(-а) дату на 01.06.2026 - 09.06.2026;
2026-04-29 12:59:42: Екатерина изменил(-а) дату на 01.06.2026 - 04.06.2026;
2026-04-29 13:31:01: Екатерина добавил(-а) тег страт-п-с-26-09;
2026-04-29 13:31:01: Екатерина добавил(-а) тег РГП;
2026-04-30 10:34:01: Екатерина назначил(-а) Нелли исполнителем;
2026-04-30 14:41:03: Екатерина убрал(-а) тег страт-п-с-26-09;
2026-04-30 14:41:06: Екатерина добавил(-а) тег страт-п-с-26-09</t>
  </si>
  <si>
    <t>5.06. Создать Товары в CRM</t>
  </si>
  <si>
    <t>28.04.2026 11:21:10</t>
  </si>
  <si>
    <t>2026-04-28 11:21:10: Екатерина создал(-а) задачу;
2026-04-28 11:27:12: Екатерина добавил(-а) тег PRE;
2026-04-28 17:33:54: Екатерина изменил(-а) название на 5.06. Создать Товары в CRM;
2026-04-28 18:44:30: Екатерина переместил(-а) задачу в проекте ЛИЧНО сентябрь 24.09.2026 в колонку Дивизион Конференции / К работе;
2026-04-29 12:58:44: Екатерина изменил(-а) дату на 01.06.2026;
2026-04-29 12:58:47: Екатерина изменил(-а) дату на 01.06.2026 - 04.06.2026;
2026-04-29 13:31:10: Екатерина добавил(-а) тег РГП;
2026-04-29 13:31:11: Екатерина убрал(-а) тег РГП;
2026-04-29 13:31:11: Екатерина добавил(-а) тег страт-п-с-26-09;
2026-04-29 13:31:17: Екатерина добавил(-а) тег РГП;
2026-04-30 10:34:07: Екатерина назначил(-а) Нелли исполнителем;
2026-04-30 14:41:14: Екатерина убрал(-а) тег страт-п-с-26-09;
2026-04-30 14:41:16: Екатерина добавил(-а) тег страт-п-с-26-09</t>
  </si>
  <si>
    <t>5.07. Подготовить Воронку в CRM</t>
  </si>
  <si>
    <t>28.04.2026 11:20:57</t>
  </si>
  <si>
    <t>2026-04-28 11:20:57: Екатерина создал(-а) задачу;
2026-04-28 11:27:17: Екатерина добавил(-а) тег PRE;
2026-04-28 17:34:00: Екатерина изменил(-а) название на 5.07. Подготовить Воронку в CRM;
2026-04-28 18:44:33: Екатерина переместил(-а) задачу в проекте ЛИЧНО сентябрь 24.09.2026 в колонку Дивизион Конференции / К работе;
2026-04-29 12:59:54: Екатерина изменил(-а) дату на 08.06.2026;
2026-04-29 12:59:57: Екатерина изменил(-а) дату на 08.06.2026 - 11.06.2026;
2026-04-29 13:31:23: Екатерина добавил(-а) тег РГП;
2026-04-29 13:31:24: Екатерина добавил(-а) тег страт-п-с-26-09;
2026-04-30 10:34:11: Екатерина назначил(-а) Нелли исполнителем</t>
  </si>
  <si>
    <t>5.08. Закреп с Сейл-китом выложить в рабочий чат</t>
  </si>
  <si>
    <t>28.04.2026 11:20:42</t>
  </si>
  <si>
    <t>2026-04-28 11:20:42: Екатерина создал(-а) задачу;
2026-04-28 11:27:22: Екатерина добавил(-а) тег PRE;
2026-04-28 17:34:11: Екатерина изменил(-а) название на 5.08. Закреп с Сейл-китом выложить в рабочий чат;
2026-04-28 18:44:41: Екатерина переместил(-а) задачу в проекте ЛИЧНО сентябрь 24.09.2026 в колонку Дивизион Конференции / К работе;
2026-04-29 13:00:00: Екатерина изменил(-а) дату на 08.06.2026;
2026-04-29 13:00:01: Екатерина изменил(-а) дату на 08.06.2026 - 11.06.2026;
2026-04-29 13:31:34: Екатерина добавил(-а) тег РГП;
2026-04-29 13:31:36: Екатерина добавил(-а) тег страт-п-с-26-09;
2026-04-30 10:34:14: Екатерина назначил(-а) Нелли исполнителем</t>
  </si>
  <si>
    <t>5.09. Провести Обучение и тестирование менеджеров</t>
  </si>
  <si>
    <t>28.04.2026 11:20:27</t>
  </si>
  <si>
    <t>2026-04-28 11:20:27: Екатерина создал(-а) задачу;
2026-04-28 11:27:36: Екатерина добавил(-а) тег PRE;
2026-04-28 17:34:22: Екатерина изменил(-а) название на 5.09. Провести Обучение и тестирование менеджеров;
2026-04-28 18:44:44: Екатерина переместил(-а) задачу в проекте ЛИЧНО сентябрь 24.09.2026 в колонку Дивизион Конференции / К работе;
2026-04-29 13:00:02: Екатерина изменил(-а) дату на 08.06.2026;
2026-04-29 13:00:04: Екатерина изменил(-а) дату на 08.06.2026 - 11.06.2026;
2026-04-29 13:01:19: Екатерина изменил(-а) дату на 08.06.2026 - 14.06.2026;
2026-04-29 13:01:27: Екатерина изменил(-а) дату на 08.06.2026 - 18.06.2026;
2026-04-29 13:01:30: Екатерина изменил(-а) дату на 16.06.2026 - 18.06.2026;
2026-04-29 13:01:32: Екатерина изменил(-а) дату на 15.06.2026 - 18.06.2026;
2026-04-29 13:31:41: Екатерина добавил(-а) тег РГП;
2026-04-29 13:31:42: Екатерина добавил(-а) тег страт-п-с-26-09;
2026-04-30 10:34:17: Екатерина назначил(-а) Нелли исполнителем</t>
  </si>
  <si>
    <t>5.10. Подготовить понедельный план набора</t>
  </si>
  <si>
    <t>28.04.2026 11:20:15</t>
  </si>
  <si>
    <t>2026-04-28 11:20:15: Екатерина создал(-а) задачу;
2026-04-28 11:26:29: Екатерина добавил(-а) тег PRE;
2026-04-28 18:44:48: Екатерина переместил(-а) задачу в проекте ЛИЧНО сентябрь 24.09.2026 в колонку Дивизион Конференции / К работе;
2026-04-29 13:01:41: Екатерина изменил(-а) дату на 22.06.2026;
2026-04-29 13:01:44: Екатерина изменил(-а) дату на 22.06.2026 - 26.06.2026;
2026-04-29 13:02:04: Екатерина изменил(-а) дату на 22.06.2026 - 25.06.2026;
2026-04-29 13:31:47: Екатерина добавил(-а) тег РГП;
2026-04-29 13:31:47: Екатерина добавил(-а) тег страт-п-с-26-09;
2026-04-30 10:34:20: Екатерина назначил(-а) Нелли исполнителем</t>
  </si>
  <si>
    <t>5.11. Провести индивидуальный разбор воронки каждого менеджера</t>
  </si>
  <si>
    <t>28.04.2026 11:19:56</t>
  </si>
  <si>
    <t>PRO, РГП, страт-п-с-26-09</t>
  </si>
  <si>
    <t>2026-04-28 11:19:56: Екатерина создал(-а) задачу;
2026-04-28 11:26:23: Екатерина добавил(-а) тег PRO;
2026-04-28 18:44:51: Екатерина переместил(-а) задачу в проекте ЛИЧНО сентябрь 24.09.2026 в колонку Дивизион Конференции / К работе;
2026-04-29 13:03:02: Екатерина изменил(-а) дату на 27.07.2026;
2026-04-29 13:03:08: Екатерина изменил(-а) дату на 27.07.2026 - 30.07.2026;
2026-04-29 13:31:53: Екатерина добавил(-а) тег РГП;
2026-04-29 13:31:54: Екатерина добавил(-а) тег страт-п-с-26-09;
2026-04-30 10:34:22: Екатерина назначил(-а) Нелли исполнителем</t>
  </si>
  <si>
    <t>5.12. Провести летучку с менеджерами</t>
  </si>
  <si>
    <t>28.04.2026 11:19:43</t>
  </si>
  <si>
    <t>2026-04-28 11:19:44: Екатерина создал(-а) задачу;
2026-04-28 11:26:34: Екатерина добавил(-а) тег PRO;
2026-04-28 18:44:56: Екатерина переместил(-а) задачу в проекте ЛИЧНО сентябрь 24.09.2026 в колонку Дивизион Конференции / К работе;
2026-04-29 13:03:11: Екатерина изменил(-а) дату на 27.07.2026;
2026-04-29 13:03:14: Екатерина изменил(-а) дату на 27.07.2026 - 30.07.2026;
2026-04-29 13:32:02: Екатерина добавил(-а) тег РГП;
2026-04-29 13:32:03: Екатерина добавил(-а) тег страт-п-с-26-09;
2026-04-30 10:34:28: Екатерина назначил(-а) Нелли исполнителем</t>
  </si>
  <si>
    <t>5.13. Проконтролировать выполнение отчета по отказам</t>
  </si>
  <si>
    <t>28.04.2026 11:19:27</t>
  </si>
  <si>
    <t>2026-04-28 11:19:28: Екатерина создал(-а) задачу;
2026-04-28 11:27:45: Екатерина добавил(-а) тег PRO;
2026-04-28 18:45:51: Екатерина переместил(-а) задачу в проекте ЛИЧНО сентябрь 24.09.2026 в колонку Дивизион Конференции / К работе;
2026-04-29 13:03:17: Екатерина изменил(-а) дату на 27.07.2026;
2026-04-29 13:03:19: Екатерина изменил(-а) дату на 27.07.2026 - 30.07.2026;
2026-04-29 13:32:09: Екатерина добавил(-а) тег РГП;
2026-04-29 13:32:10: Екатерина добавил(-а) тег страт-п-с-26-09;
2026-04-30 10:34:35: Екатерина назначил(-а) Нелли исполнителем</t>
  </si>
  <si>
    <t>5.14. Провести летучку с Рабочей группой</t>
  </si>
  <si>
    <t>28.04.2026 11:19:09</t>
  </si>
  <si>
    <t>2026-04-28 11:19:10: Екатерина создал(-а) задачу;
2026-04-28 11:27:50: Екатерина добавил(-а) тег PRO;
2026-04-28 18:45:54: Екатерина переместил(-а) задачу в проекте ЛИЧНО сентябрь 24.09.2026 в колонку Дивизион Конференции / К работе;
2026-04-29 13:03:20: Екатерина изменил(-а) дату на 27.07.2026;
2026-04-29 13:03:22: Екатерина изменил(-а) дату на 27.07.2026 - 31.07.2026;
2026-04-29 13:03:25: Екатерина изменил(-а) дату на 27.07.2026 - 30.07.2026;
2026-04-29 13:32:15: Екатерина добавил(-а) тег РГП;
2026-04-29 13:32:16: Екатерина добавил(-а) тег страт-п-с-26-09;
2026-04-30 10:34:36: Екатерина назначил(-а) Нелли исполнителем</t>
  </si>
  <si>
    <t>5.15. Cделать Отчет по конверсии на планерке (10% набора по заявкам)</t>
  </si>
  <si>
    <t>28.04.2026 11:18:51</t>
  </si>
  <si>
    <t>2026-04-28 11:18:51: Екатерина создал(-а) задачу;
2026-04-28 11:27:54: Екатерина добавил(-а) тег PRO;
2026-04-28 18:45:56: Екатерина переместил(-а) задачу в проекте ЛИЧНО сентябрь 24.09.2026 в колонку Дивизион Конференции / К работе;
2026-04-29 13:03:36: Екатерина изменил(-а) дату на 03.08.2026;
2026-04-29 13:03:39: Екатерина изменил(-а) дату на 03.08.2026 - 05.08.2026;
2026-04-29 13:03:44: Екатерина изменил(-а) дату на 03.08.2026 - 06.08.2026;
2026-04-29 13:32:22: Екатерина добавил(-а) тег РГП;
2026-04-29 13:32:23: Екатерина добавил(-а) тег страт-п-с-26-09;
2026-04-30 10:34:36: Екатерина назначил(-а) Нелли исполнителем</t>
  </si>
  <si>
    <t>5.16. Актуализировать цены на сайте</t>
  </si>
  <si>
    <t>28.04.2026 11:18:34</t>
  </si>
  <si>
    <t>2026-04-28 11:18:34: Екатерина создал(-а) задачу;
2026-04-28 11:28:11: Екатерина добавил(-а) тег PRO;
2026-04-28 18:46:00: Екатерина переместил(-а) задачу в проекте ЛИЧНО сентябрь 24.09.2026 в колонку Дивизион Конференции / К работе;
2026-04-29 13:03:48: Екатерина изменил(-а) дату на 03.08.2026;
2026-04-29 13:03:50: Екатерина изменил(-а) дату на 03.08.2026 - 06.08.2026;
2026-04-29 13:32:30: Екатерина добавил(-а) тег РГП;
2026-04-29 13:32:31: Екатерина добавил(-а) тег страт-п-с-26-09;
2026-04-30 10:34:52: Екатерина назначил(-а) Нелли исполнителем</t>
  </si>
  <si>
    <t>5.17. Провести индивидуальный разбор воронки каждого менеджера</t>
  </si>
  <si>
    <t>28.04.2026 11:18:19</t>
  </si>
  <si>
    <t>2026-04-28 11:18:19: Екатерина создал(-а) задачу;
2026-04-28 11:28:16: Екатерина добавил(-а) тег PRO;
2026-04-28 18:46:03: Екатерина переместил(-а) задачу в проекте ЛИЧНО сентябрь 24.09.2026 в колонку Дивизион Конференции / К работе;
2026-04-29 13:03:50: Екатерина изменил(-а) дату на 03.08.2026;
2026-04-29 13:03:52: Екатерина изменил(-а) дату на 03.08.2026 - 06.08.2026;
2026-04-29 13:33:18: Екатерина добавил(-а) тег РГП;
2026-04-29 13:33:18: Екатерина добавил(-а) тег страт-п-с-26-09;
2026-04-30 10:34:54: Екатерина назначил(-а) Нелли исполнителем</t>
  </si>
  <si>
    <t>5.18. Сделать отчет Рабочей группе по отказам</t>
  </si>
  <si>
    <t>28.04.2026 11:18:06</t>
  </si>
  <si>
    <t>2026-04-28 11:18:07: Екатерина создал(-а) задачу;
2026-04-28 11:28:19: Екатерина добавил(-а) тег PRO;
2026-04-28 18:46:06: Екатерина переместил(-а) задачу в проекте ЛИЧНО сентябрь 24.09.2026 в колонку Дивизион Конференции / К работе;
2026-04-29 13:04:11: Екатерина изменил(-а) дату на 07.08.2026;
2026-04-29 13:04:19: Екатерина изменил(-а) дату на 07.08.2026 - 11.08.2026;
2026-04-29 13:04:22: Екатерина изменил(-а) дату на 10.08.2026 - 11.08.2026;
2026-04-29 13:04:24: Екатерина изменил(-а) дату на 10.08.2026 - 13.08.2026;
2026-04-29 13:33:24: Екатерина добавил(-а) тег РГП;
2026-04-29 13:33:30: Екатерина добавил(-а) тег страт-п-с-26-09;
2026-04-30 10:34:57: Екатерина назначил(-а) Нелли исполнителем</t>
  </si>
  <si>
    <t>5.19. Провести сверку по KPI: Мастердата обработана на 80%</t>
  </si>
  <si>
    <t>28.04.2026 11:17:48</t>
  </si>
  <si>
    <t>2026-04-28 11:17:48: Екатерина создал(-а) задачу;
2026-04-28 11:28:23: Екатерина добавил(-а) тег PRO;
2026-04-28 18:46:08: Екатерина переместил(-а) задачу в проекте ЛИЧНО сентябрь 24.09.2026 в колонку Дивизион Конференции / К работе;
2026-04-29 13:04:25: Екатерина изменил(-а) дату на 10.08.2026;
2026-04-29 13:04:26: Екатерина изменил(-а) дату на 10.08.2026 - 13.08.2026;
2026-04-29 13:33:47: Екатерина добавил(-а) тег РГП;
2026-04-29 13:33:49: Екатерина добавил(-а) тег страт-п-с-26-09;
2026-04-30 10:35:00: Екатерина назначил(-а) Нелли исполнителем</t>
  </si>
  <si>
    <t>5.20. Сделать отчет по конверсии на планерке (KPI: 25% набора по заявкам)</t>
  </si>
  <si>
    <t>28.04.2026 11:17:33</t>
  </si>
  <si>
    <t>2026-04-28 11:17:34: Екатерина создал(-а) задачу;
2026-04-28 11:28:43: Екатерина добавил(-а) тег PRO;
2026-04-28 18:46:12: Екатерина переместил(-а) задачу в проекте ЛИЧНО сентябрь 24.09.2026 в колонку Дивизион Конференции / К работе;
2026-04-29 13:04:31: Екатерина изменил(-а) дату на 10.08.2026;
2026-04-29 13:04:32: Екатерина изменил(-а) дату на 10.08.2026 - 13.08.2026;
2026-04-29 13:34:02: Екатерина добавил(-а) тег РГП;
2026-04-29 13:34:06: Екатерина добавил(-а) тег страт-п-с-26-09;
2026-04-30 10:35:03: Екатерина назначил(-а) Нелли исполнителем</t>
  </si>
  <si>
    <t>5.21. Актуализировать цены на сайте</t>
  </si>
  <si>
    <t>28.04.2026 11:17:16</t>
  </si>
  <si>
    <t>2026-04-28 11:17:16: Екатерина создал(-а) задачу;
2026-04-28 11:28:50: Екатерина добавил(-а) тег PRO;
2026-04-28 18:46:15: Екатерина переместил(-а) задачу в проекте ЛИЧНО сентябрь 24.09.2026 в колонку Дивизион Конференции / К работе;
2026-04-29 13:04:32: Екатерина изменил(-а) дату на 10.08.2026;
2026-04-29 13:04:34: Екатерина изменил(-а) дату на 10.08.2026 - 13.08.2026;
2026-04-29 13:34:12: Екатерина добавил(-а) тег РГП;
2026-04-29 13:34:16: Екатерина добавил(-а) тег страт-п-с-26-09;
2026-04-30 10:35:06: Екатерина назначил(-а) Нелли исполнителем</t>
  </si>
  <si>
    <t>5.22. Сделать Отчет рабочей группе по отказам</t>
  </si>
  <si>
    <t>28.04.2026 11:16:58</t>
  </si>
  <si>
    <t>2026-04-28 11:16:59: Екатерина создал(-а) задачу;
2026-04-28 11:28:54: Екатерина добавил(-а) тег PRO;
2026-04-28 18:46:25: Екатерина переместил(-а) задачу в проекте ЛИЧНО сентябрь 24.09.2026 в колонку Дивизион Конференции / К работе;
2026-04-29 13:04:47: Екатерина изменил(-а) дату на 17.08.2026;
2026-04-29 13:04:49: Екатерина изменил(-а) дату на 17.08.2026 - 20.08.2026;
2026-04-29 13:34:39: Екатерина добавил(-а) тег РГП;
2026-04-29 13:34:44: Екатерина добавил(-а) тег страт-п-с-26-09;
2026-04-30 10:35:09: Екатерина назначил(-а) Нелли исполнителем</t>
  </si>
  <si>
    <t>5.23. Провести сверку по KPI: Мастердата обработана на 100%</t>
  </si>
  <si>
    <t>28.04.2026 11:16:36</t>
  </si>
  <si>
    <t>2026-04-28 11:16:37: Екатерина создал(-а) задачу;
2026-04-28 11:29:03: Екатерина добавил(-а) тег PRO;
2026-04-28 18:46:28: Екатерина переместил(-а) задачу в проекте ЛИЧНО сентябрь 24.09.2026 в колонку Дивизион Конференции / К работе;
2026-04-29 13:04:52: Екатерина изменил(-а) дату на 17.08.2026;
2026-04-29 13:04:54: Екатерина изменил(-а) дату на 17.08.2026 - 20.08.2026;
2026-04-29 13:34:51: Екатерина добавил(-а) тег РГП;
2026-04-29 13:34:55: Екатерина добавил(-а) тег страт-п-с-26-09;
2026-04-30 10:35:13: Екатерина назначил(-а) Нелли исполнителем</t>
  </si>
  <si>
    <t>5.24. Сделать отчет по конверсии на планерке (Сверка по KPI: 35-40 % набора по заявкам)</t>
  </si>
  <si>
    <t>28.04.2026 11:16:19</t>
  </si>
  <si>
    <t>2026-04-28 11:16:19: Екатерина создал(-а) задачу;
2026-04-28 11:29:10: Екатерина добавил(-а) тег PRO;
2026-04-28 18:46:31: Екатерина переместил(-а) задачу в проекте ЛИЧНО сентябрь 24.09.2026 в колонку Дивизион Конференции / К работе;
2026-04-29 13:04:55: Екатерина изменил(-а) дату на 17.08.2026;
2026-04-29 13:05:04: Екатерина изменил(-а) дату на 17.08.2026 - 20.08.2026;
2026-04-29 13:35:00: Екатерина добавил(-а) тег РГП;
2026-04-29 13:35:02: Екатерина добавил(-а) тег страт-п-с-26-09;
2026-04-30 10:35:20: Екатерина назначил(-а) Нелли исполнителем</t>
  </si>
  <si>
    <t>5.25. Актуализировать цены на сайте</t>
  </si>
  <si>
    <t>28.04.2026 11:15:58</t>
  </si>
  <si>
    <t>2026-04-28 11:15:58: Екатерина создал(-а) задачу;
2026-04-28 11:29:18: Екатерина добавил(-а) тег PRO;
2026-04-28 18:46:34: Екатерина переместил(-а) задачу в проекте ЛИЧНО сентябрь 24.09.2026 в колонку Дивизион Конференции / К работе;
2026-04-29 13:05:04: Екатерина изменил(-а) дату на 17.08.2026;
2026-04-29 13:05:04: Екатерина изменил(-а) дату на 17.08.2026 - 20.08.2026;
2026-04-29 13:38:09: Екатерина добавил(-а) тег РГП;
2026-04-29 13:38:10: Екатерина добавил(-а) тег страт-п-с-26-09;
2026-04-30 10:35:23: Екатерина назначил(-а) Нелли исполнителем</t>
  </si>
  <si>
    <t>5.26. Сделать Отчет рабочей группе по отказам</t>
  </si>
  <si>
    <t>28.04.2026 11:15:38</t>
  </si>
  <si>
    <t>2026-04-28 11:15:39: Екатерина создал(-а) задачу;
2026-04-28 11:29:33: Екатерина добавил(-а) тег PRO;
2026-04-28 18:46:37: Екатерина переместил(-а) задачу в проекте ЛИЧНО сентябрь 24.09.2026 в колонку Дивизион Конференции / К работе;
2026-04-29 13:05:41: Екатерина изменил(-а) дату на 24.08.2026;
2026-04-29 13:05:44: Екатерина изменил(-а) дату на 24.08.2026 - 27.08.2026;
2026-04-29 13:38:31: Екатерина добавил(-а) тег РГП;
2026-04-29 13:38:31: Екатерина добавил(-а) тег страт-п-с-26-09;
2026-04-30 10:35:25: Екатерина назначил(-а) Нелли исполнителем</t>
  </si>
  <si>
    <t>5.27. Сделать отчет по конверсии на планерке (Сверка по KPI: 40-45 % набора по заявкам)</t>
  </si>
  <si>
    <t>28.04.2026 11:15:19</t>
  </si>
  <si>
    <t>2026-04-28 11:15:19: Екатерина создал(-а) задачу;
2026-04-28 11:29:37: Екатерина добавил(-а) тег PRO;
2026-04-28 18:46:40: Екатерина переместил(-а) задачу в проекте ЛИЧНО сентябрь 24.09.2026 в колонку Дивизион Конференции / К работе;
2026-04-29 13:05:45: Екатерина изменил(-а) дату на 24.08.2026;
2026-04-29 13:05:46: Екатерина изменил(-а) дату на 24.08.2026 - 27.08.2026;
2026-04-29 13:38:40: Екатерина добавил(-а) тег РГП;
2026-04-29 13:38:42: Екатерина добавил(-а) тег страт-п-с-26-09;
2026-04-30 10:35:27: Екатерина назначил(-а) Нелли исполнителем</t>
  </si>
  <si>
    <t>5.28. Актуализировать цены на сайте</t>
  </si>
  <si>
    <t>28.04.2026 11:14:59</t>
  </si>
  <si>
    <t>2026-04-28 11:14:59: Екатерина создал(-а) задачу;
2026-04-28 11:29:55: Екатерина добавил(-а) тег PRO;
2026-04-28 18:46:43: Екатерина переместил(-а) задачу в проекте ЛИЧНО сентябрь 24.09.2026 в колонку Дивизион Конференции / К работе;
2026-04-29 13:11:44: Екатерина изменил(-а) дату на 24.08.2026;
2026-04-29 13:11:49: Екатерина изменил(-а) дату на 24.08.2026 - 27.08.2026;
2026-04-29 13:39:02: Екатерина добавил(-а) тег РГП;
2026-04-29 13:39:05: Екатерина добавил(-а) тег страт-п-с-26-09;
2026-04-30 10:35:31: Екатерина назначил(-а) Нелли исполнителем</t>
  </si>
  <si>
    <t>5.29. Сделать Отчет рабочей группе по отказам</t>
  </si>
  <si>
    <t>28.04.2026 11:14:24</t>
  </si>
  <si>
    <t>2026-04-28 11:14:25: Екатерина создал(-а) задачу;
2026-04-28 11:14:37: Екатерина изменил(-а) название на 5.29. Сделать Отчет рабочей группе по отказам;
2026-04-28 11:30:03: Екатерина добавил(-а) тег PRO;
2026-04-28 18:46:47: Екатерина переместил(-а) задачу в проекте ЛИЧНО сентябрь 24.09.2026 в колонку Дивизион Конференции / К работе;
2026-04-29 13:11:56: Екатерина изменил(-а) дату на 31.08.2026;
2026-04-29 13:11:59: Екатерина изменил(-а) дату на 31.08.2026 - 02.09.2026;
2026-04-29 13:12:02: Екатерина изменил(-а) дату на 31.08.2026 - 03.09.2026;
2026-04-29 13:39:14: Екатерина добавил(-а) тег РГП;
2026-04-29 13:39:19: Екатерина добавил(-а) тег страт-п-с-26-09;
2026-04-30 10:35:15: Екатерина назначил(-а) Нелли исполнителем</t>
  </si>
  <si>
    <t>5.30. Сделать отчет по конверсии на планерке (Сверка по KPI: 45-65% набора по заявкам)</t>
  </si>
  <si>
    <t>28.04.2026 11:14:05</t>
  </si>
  <si>
    <t>2026-04-28 11:14:06: Екатерина создал(-а) задачу;
2026-04-28 11:30:08: Екатерина добавил(-а) тег PRO;
2026-04-28 18:46:50: Екатерина переместил(-а) задачу в проекте ЛИЧНО сентябрь 24.09.2026 в колонку Дивизион Конференции / К работе;
2026-04-29 13:12:05: Екатерина изменил(-а) дату на 31.08.2026;
2026-04-29 13:12:07: Екатерина изменил(-а) дату на 31.08.2026 - 03.09.2026;
2026-04-29 13:39:33: Екатерина добавил(-а) тег РГП;
2026-04-29 13:39:35: Екатерина добавил(-а) тег страт-п-с-26-09;
2026-04-30 10:51:03: Екатерина назначил(-а) Нелли исполнителем</t>
  </si>
  <si>
    <t>5.31. Актуализировать цены на сайте</t>
  </si>
  <si>
    <t>28.04.2026 11:13:45</t>
  </si>
  <si>
    <t>2026-04-28 11:13:45: Екатерина создал(-а) задачу;
2026-04-28 11:30:16: Екатерина добавил(-а) тег PRO;
2026-04-28 18:46:53: Екатерина переместил(-а) задачу в проекте ЛИЧНО сентябрь 24.09.2026 в колонку Дивизион Конференции / К работе;
2026-04-29 13:12:07: Екатерина изменил(-а) дату на 31.08.2026;
2026-04-29 13:12:10: Екатерина изменил(-а) дату на 31.08.2026 - 03.09.2026;
2026-04-29 13:39:44: Екатерина добавил(-а) тег РГП;
2026-04-29 13:39:46: Екатерина добавил(-а) тег страт-п-с-26-09;
2026-04-30 10:51:09: Екатерина назначил(-а) Нелли исполнителем</t>
  </si>
  <si>
    <t>5.32. Сделать Отчет рабочей группе по отказам</t>
  </si>
  <si>
    <t>28.04.2026 11:13:15</t>
  </si>
  <si>
    <t>2026-04-28 11:13:15: Екатерина создал(-а) задачу;
2026-04-28 11:13:22: Екатерина изменил(-а) название на 5.32.Сделать Отчет рабочей группе по отказам;
2026-04-28 11:13:25: Екатерина изменил(-а) название на 5.32. Сделать Отчет рабочей группе по отказам;
2026-04-28 11:30:21: Екатерина добавил(-а) тег PRO;
2026-04-28 18:46:56: Екатерина переместил(-а) задачу в проекте ЛИЧНО сентябрь 24.09.2026 в колонку Дивизион Конференции / К работе;
2026-04-29 13:12:22: Екатерина изменил(-а) дату на 07.09.2026;
2026-04-29 13:12:30: Екатерина изменил(-а) дату на 07.09.2026 - 10.09.2026;
2026-04-29 13:39:54: Екатерина добавил(-а) тег РГП;
2026-04-29 13:39:55: Екатерина добавил(-а) тег страт-п-с-26-09;
2026-04-30 10:51:14: Екатерина назначил(-а) Нелли исполнителем</t>
  </si>
  <si>
    <t>5.33. Сделать отчет по конверсии на планерке (Сверка по KPI: 65-85% набора по заявкам)</t>
  </si>
  <si>
    <t>28.04.2026 11:12:47</t>
  </si>
  <si>
    <t>2026-04-28 11:12:47: Екатерина создал(-а) задачу;
2026-04-28 11:30:37: Екатерина добавил(-а) тег PRO;
2026-04-28 18:46:58: Екатерина переместил(-а) задачу в проекте ЛИЧНО сентябрь 24.09.2026 в колонку Дивизион Конференции / К работе;
2026-04-29 13:12:30: Екатерина изменил(-а) дату на 07.09.2026;
2026-04-29 13:12:30: Екатерина изменил(-а) дату на 07.09.2026 - 10.09.2026;
2026-04-29 13:40:04: Екатерина добавил(-а) тег РГП;
2026-04-29 13:40:06: Екатерина добавил(-а) тег страт-п-с-26-09;
2026-04-30 10:51:18: Екатерина назначил(-а) Нелли исполнителем</t>
  </si>
  <si>
    <t>5.34. Актуализировать цены на сайте</t>
  </si>
  <si>
    <t>28.04.2026 11:12:30</t>
  </si>
  <si>
    <t>2026-04-28 11:12:30: Екатерина создал(-а) задачу;
2026-04-28 11:30:43: Екатерина добавил(-а) тег PRO;
2026-04-28 18:47:01: Екатерина переместил(-а) задачу в проекте ЛИЧНО сентябрь 24.09.2026 в колонку Дивизион Конференции / К работе;
2026-04-29 13:12:30: Екатерина изменил(-а) дату на 07.09.2026;
2026-04-29 13:12:33: Екатерина изменил(-а) дату на 07.09.2026 - 10.09.2026;
2026-04-29 13:40:32: Екатерина добавил(-а) тег РГП;
2026-04-29 13:40:39: Екатерина добавил(-а) тег страт-п-с-26-09;
2026-04-30 10:51:20: Екатерина назначил(-а) Нелли исполнителем</t>
  </si>
  <si>
    <t>5.35. Сделать Отчет рабочей группе по отказам</t>
  </si>
  <si>
    <t>28.04.2026 11:12:09</t>
  </si>
  <si>
    <t>2026-04-28 11:12:10: Екатерина создал(-а) задачу;
2026-04-28 11:30:51: Екатерина добавил(-а) тег PRO;
2026-04-28 18:47:04: Екатерина переместил(-а) задачу в проекте ЛИЧНО сентябрь 24.09.2026 в колонку Дивизион Конференции / К работе;
2026-04-29 11:18:52: Екатерина изменил(-а) дату на 14.09.2026 - 14.09.2026;
2026-04-29 11:18:53: Екатерина изменил(-а) дату на 14.09.2026 - 17.09.2026;
2026-04-29 13:40:45: Екатерина добавил(-а) тег РГП;
2026-04-29 13:40:51: Екатерина добавил(-а) тег страт-п-с-26-09;
2026-04-30 10:51:23: Екатерина назначил(-а) Нелли исполнителем</t>
  </si>
  <si>
    <t>5.36. Сделать отчет по конверсии на планерке (Сверка по KPI: 85-100% набора по заявкам)</t>
  </si>
  <si>
    <t>28.04.2026 11:11:44</t>
  </si>
  <si>
    <t>2026-04-28 11:11:44: Екатерина создал(-а) задачу;
2026-04-28 11:30:56: Екатерина добавил(-а) тег PRO;
2026-04-28 18:45:11: Екатерина переместил(-а) задачу в проекте ЛИЧНО сентябрь 24.09.2026 в колонку Дивизион Конференции / К работе;
2026-04-29 13:13:05: Екатерина изменил(-а) дату на 14.09.2026;
2026-04-29 13:13:07: Екатерина изменил(-а) дату на 14.09.2026 - 17.09.2026;
2026-04-29 13:40:56: Екатерина добавил(-а) тег РГП;
2026-04-29 13:41:01: Екатерина добавил(-а) тег страт-п-с-26-09;
2026-04-30 10:51:25: Екатерина назначил(-а) Нелли исполнителем</t>
  </si>
  <si>
    <t>5.37. Актуализировать цены на сайте</t>
  </si>
  <si>
    <t>28.04.2026 11:11:23</t>
  </si>
  <si>
    <t>2026-04-28 11:11:23: Екатерина создал(-а) задачу;
2026-04-28 11:31:12: Екатерина добавил(-а) тег PRO;
2026-04-28 18:45:14: Екатерина переместил(-а) задачу в проекте ЛИЧНО сентябрь 24.09.2026 в колонку Дивизион Конференции / К работе;
2026-04-29 13:13:08: Екатерина изменил(-а) дату на 14.09.2026;
2026-04-29 13:13:15: Екатерина изменил(-а) дату на 14.09.2026 - 17.09.2026;
2026-04-29 13:41:06: Екатерина добавил(-а) тег РГП;
2026-04-29 13:41:10: Екатерина добавил(-а) тег страт-п-с-26-09;
2026-04-30 10:51:28: Екатерина назначил(-а) Нелли исполнителем</t>
  </si>
  <si>
    <t>5.38. Сделать отчет по конверсии по каналам продаж</t>
  </si>
  <si>
    <t>28.04.2026 11:11:07</t>
  </si>
  <si>
    <t>POST, РГП, страт-п-с-26-09</t>
  </si>
  <si>
    <t>2026-04-28 11:11:07: Екатерина создал(-а) задачу;
2026-04-28 11:23:12: Екатерина добавил(-а) тег POST;
2026-04-28 18:45:18: Екатерина переместил(-а) задачу в проекте ЛИЧНО сентябрь 24.09.2026 в колонку Дивизион Конференции / К работе;
2026-04-29 13:13:34: Екатерина изменил(-а) дату на 28.09.2026;
2026-04-29 13:13:35: Екатерина изменил(-а) дату на 28.09.2026 - 01.10.2026;
2026-04-29 13:33:04: Екатерина добавил(-а) тег РГП;
2026-04-29 13:33:04: Екатерина добавил(-а) тег страт-п-с-26-09;
2026-04-30 10:51:31: Екатерина назначил(-а) Нелли исполнителем</t>
  </si>
  <si>
    <t>5.39. Передать мотивацию в финотдел для расчета премий</t>
  </si>
  <si>
    <t>28.04.2026 11:10:50</t>
  </si>
  <si>
    <t>2026-04-28 11:10:50: Екатерина создал(-а) задачу;
2026-04-28 11:23:18: Екатерина добавил(-а) тег POST;
2026-04-28 18:47:16: Екатерина переместил(-а) задачу в проекте ЛИЧНО сентябрь 24.09.2026 в колонку Дивизион Конференции / К работе;
2026-04-29 13:13:37: Екатерина изменил(-а) дату на 28.09.2026;
2026-04-29 13:13:39: Екатерина изменил(-а) дату на 28.09.2026 - 01.10.2026;
2026-04-29 13:33:09: Екатерина добавил(-а) тег РГП;
2026-04-29 13:33:11: Екатерина добавил(-а) тег страт-п-с-26-09;
2026-04-30 10:51:37: Екатерина назначил(-а) Нелли исполнителем</t>
  </si>
  <si>
    <t>5.40. Закрыть сделки в Битриксе</t>
  </si>
  <si>
    <t>28.04.2026 11:10:29</t>
  </si>
  <si>
    <t>2026-04-28 11:10:30: Екатерина создал(-а) задачу;
2026-04-28 11:23:24: Екатерина добавил(-а) тег POST;
2026-04-28 18:47:19: Екатерина переместил(-а) задачу в проекте ЛИЧНО сентябрь 24.09.2026 в колонку Дивизион Конференции / К работе;
2026-04-29 13:13:40: Екатерина изменил(-а) дату на 28.09.2026;
2026-04-29 13:13:45: Екатерина изменил(-а) дату на 28.09.2026 - 01.10.2026;
2026-04-29 13:32:50: Екатерина добавил(-а) тег РГП;
2026-04-29 13:32:55: Екатерина добавил(-а) тег страт-п-с-26-09;
2026-04-30 10:34:42: Екатерина назначил(-а) Нелли исполнителем</t>
  </si>
  <si>
    <t>5.41. Актуализировать Мастердату</t>
  </si>
  <si>
    <t>28.04.2026 11:10:03</t>
  </si>
  <si>
    <t>2026-04-28 11:10:03: Екатерина создал(-а) задачу;
2026-04-28 11:23:58: Екатерина добавил(-а) тег POST;
2026-04-28 18:47:21: Екатерина переместил(-а) задачу в проекте ЛИЧНО сентябрь 24.09.2026 в колонку Дивизион Конференции / К работе;
2026-04-29 13:13:51: Екатерина изменил(-а) дату на 28.09.2026;
2026-04-29 13:13:53: Екатерина изменил(-а) дату на 28.09.2026 - 01.10.2026;
2026-04-29 13:32:42: Екатерина добавил(-а) тег РГП;
2026-04-29 13:32:44: Екатерина добавил(-а) тег страт-п-с-26-09;
2026-04-30 10:34:47: Екатерина назначил(-а) Нелли исполнителем</t>
  </si>
  <si>
    <t>2.6.2. Провести 40% телефонные интервью  с целью выявления актуальной проблематики. Оптимальное количество завершенных интервью - 40. Протяженность интервью - не менее 10-15 минут.</t>
  </si>
  <si>
    <t>27.04.2026 17:58:52</t>
  </si>
  <si>
    <t>2026-04-27 17:58:53: Екатерина создал(-а) задачу;
2026-04-28 18:58:50: Екатерина убрал(-а) родительскую задачу</t>
  </si>
  <si>
    <t>2.6.1. Запросить базу данных КВК Империя у отдела лидогенерации для проведения телефонного интервью.</t>
  </si>
  <si>
    <t>01.06.2026</t>
  </si>
  <si>
    <t>27.04.2026 17:58:25</t>
  </si>
  <si>
    <t>2026-04-27 17:58:26: Екатерина создал(-а) задачу;
2026-04-28 19:47:01: Екатерина изменил(-а) дату на 01.06.2026</t>
  </si>
  <si>
    <t>2.02. Отдать лидгенам ТЗ на Тизер-сайт и согласовать колонтитул мероприятия для печатных материалов</t>
  </si>
  <si>
    <t>2.2.4. С руководителем отдела лидогенерации согласовать ответственного за разработку тизер-сайта и зафиксировать сроки разработки</t>
  </si>
  <si>
    <t>27.04.2026 17:55:54</t>
  </si>
  <si>
    <t>2026-04-27 17:55:54: Екатерина создал(-а) задачу;
2026-04-28 19:25:08: Екатерина добавил(-а) тег PRE;
2026-04-28 19:28:59: Екатерина добавил(-а) тег Продюсер;
2026-04-28 19:28:59: Екатерина добавил(-а) тег страт-п-с-26-09;
2026-04-28 19:38:10: Екатерина добавил(-а) задачу в проект ЛИЧНО сентябрь 24.09.2026</t>
  </si>
  <si>
    <t>2.2.3. Согласовать колонтитул, сделанный дизайнером</t>
  </si>
  <si>
    <t>27.04.2026 17:54:50</t>
  </si>
  <si>
    <t>2026-04-27 17:54:50: Екатерина создал(-а) задачу;
2026-04-27 17:55:13: Екатерина изменил(-а) название на 2.2.3. Согласовать колонтитул,;
2026-04-27 17:55:14: Екатерина изменил(-а) название на 2.2.3. Согласовать колонтитул, л сделанный дизайнером;
2026-04-27 17:55:17: Екатерина изменил(-а) название на 2.2.3. Согласовать колонтитул, сделанный дизайнером;
2026-04-28 19:25:05: Екатерина добавил(-а) тег PRE;
2026-04-28 19:28:46: Екатерина добавил(-а) тег Продюсер;
2026-04-28 19:28:47: Екатерина добавил(-а) тег страт-п-с-26-09;
2026-04-28 19:38:04: Екатерина добавил(-а) задачу в проект ЛИЧНО сентябрь 24.09.2026</t>
  </si>
  <si>
    <t>2.2.2.  Сделать ТЗ на колонтитул мероприятия в формате Word (по шаблону от дизайнера) и отправить дизайнеру</t>
  </si>
  <si>
    <t>27.04.2026 17:54:47</t>
  </si>
  <si>
    <t>2026-04-27 17:54:47: Екатерина создал(-а) задачу;
2026-04-28 19:25:02: Екатерина добавил(-а) тег PRE;
2026-04-28 19:26:25: Екатерина добавил(-а) тег Продюсер;
2026-04-28 19:26:28: Екатерина добавил(-а) тег страт-п-с-26-09;
2026-04-28 19:37:59: Екатерина добавил(-а) задачу в проект ЛИЧНО сентябрь 24.09.2026</t>
  </si>
  <si>
    <t>2.2.1. Согласно ТЗ создать и заполнить Word-документ "Тизер-сайт" по форме, утвержденной в методичке Продюсинга.</t>
  </si>
  <si>
    <t>27.04.2026 17:54:40</t>
  </si>
  <si>
    <t>2026-04-27 17:54:40: Екатерина создал(-а) задачу;
2026-04-28 19:25:00: Екатерина добавил(-а) тег PRE;
2026-04-28 19:26:16: Екатерина добавил(-а) тег Продюсер;
2026-04-28 19:26:19: Екатерина добавил(-а) тег страт-п-с-26-09;
2026-04-28 19:37:56: Екатерина добавил(-а) задачу в проект ЛИЧНО сентябрь 24.09.2026</t>
  </si>
  <si>
    <t>27.04.2026 16:59:06</t>
  </si>
  <si>
    <t>2026-04-27 16:59:06: Екатерина создал(-а) задачу;
2026-04-27 16:59:30: Екатерина изменил(-а) название на 2.2. Отдать ТЗ лидгенам на Тизер-сайт и согласован колонтитул мероприятия для печатных материалов;
2026-04-27 16:59:39: Екатерина изменил(-а) название на 2.2. Отдать лидгенам ТЗ лидгенам на Тизер-сайт и согласован колонтитул мероприятия для печатных материалов;
2026-04-27 16:59:44: Екатерина изменил(-а) название на 2.2. Отдать лидгенам ТЗ на Тизер-сайт и согласован колонтитул мероприятия для печатных материалов;
2026-04-27 16:59:48: Екатерина изменил(-а) название на 2.2. Отдать лидгенам ТЗ на Тизер-сайт и согласовать колонтитул мероприятия для печатных материалов;
2026-04-27 17:00:41: Екатерина изменил(-а) название на 2.2.Отдать лидгенам ТЗ на Тизер-сайт и согласовать колонтитул мероприятия для печатных материалов;
2026-04-27 17:00:42: Екатерина изменил(-а) название на 2.2Отдать лидгенам ТЗ на Тизер-сайт и согласовать колонтитул мероприятия для печатных материалов;
2026-04-27 17:00:43: Екатерина изменил(-а) название на 2.2.Отдать лидгенам ТЗ на Тизер-сайт и согласовать колонтитул мероприятия для печатных материалов;
2026-04-27 17:00:43: Екатерина изменил(-а) название на 2.2. Отдать лидгенам ТЗ на Тизер-сайт и согласовать колонтитул мероприятия для печатных материалов;
2026-04-27 17:01:38: Екатерина изменил(-а) дату на 22.05.2026;
2026-04-27 17:02:47: Екатерина добавил(-а) тег PRE;
2026-04-27 17:54:40: Екатерина добавил(-а) подзадачу #144 2.2.1. Согласно ТЗ создать и заполнить Word-документ "Тизер-сайт" по форме, утвержденной в методичке Продюсинга.;
2026-04-27 17:54:47: Екатерина добавил(-а) подзадачу #145 2.2.2. Сделать ТЗ на колонтитул мероприятия в формате Word (по шаблону от дизайнера) и отправить дизайнеру;
2026-04-27 17:54:50: Екатерина добавил(-а) подзадачу #146 2.2.3. Согласовать колонтитул, сделанный дизайнером;
2026-04-27 17:55:54: Екатерина добавил(-а) подзадачу #147 2.2.4. С руководителем отдела лидогенерации согласовать ответственного за разработку тизер-сайта и зафиксировать сроки разработки;
2026-04-28 18:47:26: Екатерина переместил(-а) задачу в проекте ЛИЧНО сентябрь 24.09.2026 в колонку Дивизион Конференции / К работе;
2026-04-28 19:04:20: Екатерина изменил(-а) название на 2.02. Отдать лидгенам ТЗ на Тизер-сайт и согласовать колонтитул мероприятия для печатных материалов;
2026-04-28 19:25:32: Екатерина добавил(-а) тег Продюсер;
2026-04-28 19:25:58: Екатерина добавил(-а) тег страт-п-с-26-09;
2026-04-28 19:37:40: Екатерина изменил(-а) дату на 18.05.2026;
2026-04-28 19:37:43: Екатерина изменил(-а) дату на 18.05.2026 - 18.05.2026;
2026-04-28 19:37:44: Екатерина изменил(-а) дату на 18.05.2026 - 21.05.2026</t>
  </si>
  <si>
    <t>2.07. Сдать и утвердить с лидгеном Тизер сайт и проконтрол. его  публикацию в календаре на соотв. сайте компании</t>
  </si>
  <si>
    <t>27.04.2026 16:58:00</t>
  </si>
  <si>
    <t>2026-04-27 16:58:01: Екатерина создал(-а) задачу;
2026-04-27 16:58:05: Екатерина изменил(-а) название на 2.7. Сдать и утвердить с лидгеном Тизер сайт и проконтрол. его публикацию в календаре на соотв. сайте компании;
2026-04-27 17:04:21: Екатерина изменил(-а) дату на 05.06.2026;
2026-04-27 17:04:25: Екатерина добавил(-а) тег PRE;
2026-04-28 18:47:56: Екатерина переместил(-а) задачу в проекте ЛИЧНО сентябрь 24.09.2026 в колонку Дивизион Конференции / К работе;
2026-04-28 18:57:17: Екатерина изменил(-а) название на 2.07. Сдать и утвердить с лидгеном Тизер сайт и проконтрол. его публикацию в календаре на соотв. сайте компании;
2026-04-28 19:44:27: Екатерина добавил(-а) тег Продюсер;
2026-04-28 19:44:27: Екатерина убрал(-а) тег Продюсер;
2026-04-28 19:44:27: Екатерина добавил(-а) тег страт-п-с-26-09;
2026-04-28 19:44:32: Екатерина добавил(-а) тег Продюсер;
2026-04-28 19:47:25: Екатерина изменил(-а) дату на 01.06.2026;
2026-04-28 19:47:28: Екатерина изменил(-а) дату на 01.06.2026 - 01.06.2026;
2026-04-28 19:47:28: Екатерина изменил(-а) дату на 01.06.2026 - 04.06.2026;
2026-04-30 14:34:29: Екатерина убрал(-а) тег страт-п-с-26-09;
2026-04-30 14:34:35: Екатерина добавил(-а) тег страт-п-с-26-09</t>
  </si>
  <si>
    <t>2.08. Провести 100% глубинных интервью</t>
  </si>
  <si>
    <t>27.04.2026 16:57:38</t>
  </si>
  <si>
    <t>2026-04-27 16:57:38: Екатерина создал(-а) задачу;
2026-04-27 17:07:44: Екатерина изменил(-а) дату на 12.06.2026;
2026-04-27 17:07:47: Екатерина добавил(-а) тег PRE;
2026-04-28 18:48:02: Екатерина переместил(-а) задачу в проекте ЛИЧНО сентябрь 24.09.2026 в колонку Дивизион Конференции / К работе;
2026-04-28 18:57:21: Екатерина изменил(-а) название на 2.08. Провести 100% глубинных интервью;
2026-04-28 19:44:41: Екатерина добавил(-а) тег страт-п-с-26-09;
2026-04-28 19:44:42: Екатерина добавил(-а) тег Продюсер;
2026-04-28 19:44:43: Екатерина добавил(-а) тег ШП;
2026-04-28 19:44:45: Екатерина убрал(-а) тег ШП;
2026-04-28 19:47:40: Екатерина изменил(-а) дату на 08.06.2026 - 12.06.2026;
2026-04-28 19:47:40: Екатерина изменил(-а) дату на 11.06.2026 - 12.06.2026;
2026-04-28 19:47:43: Екатерина изменил(-а) дату на 08.06.2026 - 12.06.2026;
2026-04-28 19:47:44: Екатерина изменил(-а) дату на 11.06.2026 - 12.06.2026;
2026-04-28 19:47:48: Екатерина изменил(-а) дату на 11.06.2026 - 11.06.2026;
2026-04-28 19:47:50: Екатерина изменил(-а) дату на 08.06.2026 - 11.06.2026;
2026-04-30 14:34:44: Екатерина убрал(-а) тег страт-п-с-26-09;
2026-04-30 14:35:20: Екатерина добавил(-а) тег страт-п-с-26-09</t>
  </si>
  <si>
    <t>2.11 Сдать Концепцию и Программу</t>
  </si>
  <si>
    <t>27.04.2026 16:52:37</t>
  </si>
  <si>
    <t>PRE, Продюсер, старт вехи Pro</t>
  </si>
  <si>
    <t>2026-04-27 16:52:39: Екатерина создал(-а) задачу;
2026-04-27 17:08:26: Екатерина изменил(-а) дату на 19.06.2026;
2026-04-27 17:08:31: Екатерина добавил(-а) тег PRE;
2026-04-28 18:48:11: Екатерина переместил(-а) задачу в проекте ЛИЧНО сентябрь 24.09.2026 в колонку Дивизион Конференции / К работе;
2026-04-29 09:52:01: Екатерина добавил(-а) тег страт-п-с-26-09;
2026-04-29 09:52:13: Екатерина добавил(-а) тег Продюсер;
2026-04-29 10:19:53: Екатерина изменил(-а) дату на 15.06.2026 - 19.06.2026;
2026-04-29 10:19:55: Екатерина изменил(-а) дату на 15.06.2026 - 18.06.2026;
2026-04-30 14:35:59: Екатерина убрал(-а) тег страт-п-с-26-09;
2026-04-30 14:36:03: Екатерина добавил(-а) тег старт вехи Pro</t>
  </si>
  <si>
    <t>2.12. Проверить публикацию  на сайте Программы с надписью "планируемые спикеры"</t>
  </si>
  <si>
    <t>27.04.2026 16:52:28</t>
  </si>
  <si>
    <t>2026-04-27 16:52:29: Екатерина создал(-а) задачу;
2026-04-27 17:08:40: Екатерина изменил(-а) дату на 12.06.2026;
2026-04-27 17:08:44: Екатерина добавил(-а) тег PRE;
2026-04-27 17:09:33: Екатерина изменил(-а) дату на 19.06.2026;
2026-04-28 16:14:54: Екатерина очистил(-а) название;
2026-04-28 16:14:55: Екатерина изменил(-а) название на 2.12. Проверить публикацию на сайте Программы с надписью "планируемые спикеры";
2026-04-28 18:48:14: Екатерина переместил(-а) задачу в проекте ЛИЧНО сентябрь 24.09.2026 в колонку Дивизион Конференции / К работе;
2026-04-29 09:52:26: Екатерина добавил(-а) тег страт-п-с-26-09;
2026-04-29 09:52:30: Екатерина добавил(-а) тег Продюсер;
2026-04-29 10:20:04: Екатерина изменил(-а) дату на 15.06.2026 - 19.06.2026;
2026-04-29 10:20:04: Екатерина изменил(-а) дату на 15.06.2026 - 18.06.2026;
2026-04-30 14:36:08: Екатерина убрал(-а) тег страт-п-с-26-09;
2026-04-30 14:36:13: Екатерина добавил(-а) тег страт-п-с-26-09</t>
  </si>
  <si>
    <t>2.13. Провести Обучение по Программе мероприятия</t>
  </si>
  <si>
    <t>27.04.2026 16:51:11</t>
  </si>
  <si>
    <t>2026-04-27 16:51:11: Екатерина создал(-а) задачу;
2026-04-27 16:51:17: Екатерина изменил(-а) название на 2.13. Провести Обучение по Программе мероприятия;
2026-04-27 17:27:31: Екатерина изменил(-а) дату на 26.06.2026;
2026-04-27 17:27:35: Екатерина добавил(-а) тег PRE;
2026-04-28 18:48:30: Екатерина переместил(-а) задачу в проекте ЛИЧНО сентябрь 24.09.2026 в колонку Дивизион Конференции / К работе;
2026-04-29 09:53:15: Екатерина добавил(-а) тег страт-п-с-26-09;
2026-04-29 09:53:15: Екатерина добавил(-а) тег Продюсер;
2026-04-29 10:20:35: Екатерина изменил(-а) дату на 22.06.2026 - 26.06.2026;
2026-04-29 10:20:36: Екатерина изменил(-а) дату на 22.06.2026 - 25.06.2026;
2026-04-30 14:36:21: Екатерина убрал(-а) тег страт-п-с-26-09;
2026-04-30 14:36:24: Екатерина добавил(-а) тег страт-п-с-26-09</t>
  </si>
  <si>
    <t>2.14. Разослать приглашения всем спикерам по программе</t>
  </si>
  <si>
    <t>27.04.2026 16:51:09</t>
  </si>
  <si>
    <t>2026-04-27 16:51:09: Екатерина создал(-а) задачу;
2026-04-27 16:51:21: Екатерина изменил(-а) название на 2.14. Разослать приглашения всем спикерам по прогамме;
2026-04-27 17:27:47: Екатерина изменил(-а) дату на 26.06.2026;
2026-04-27 17:27:53: Екатерина добавил(-а) тег PRE;
2026-04-28 16:15:33: Екатерина изменил(-а) название на 2.14. Разослать приглашения всем спикерам по программе;
2026-04-28 18:48:57: Екатерина переместил(-а) задачу в проекте ЛИЧНО сентябрь 24.09.2026 в колонку Дивизион Конференции / К работе;
2026-04-29 09:53:20: Екатерина добавил(-а) тег страт-п-с-26-09;
2026-04-29 09:53:21: Екатерина добавил(-а) тег Продюсер;
2026-04-29 10:20:43: Екатерина изменил(-а) дату на 22.06.2026 - 26.06.2026;
2026-04-29 10:20:44: Екатерина изменил(-а) дату на 22.06.2026 - 25.06.2026;
2026-04-30 14:36:31: Екатерина убрал(-а) тег страт-п-с-26-09;
2026-04-30 14:36:34: Екатерина добавил(-а) тег страт-п-с-26-09</t>
  </si>
  <si>
    <t>2.15. Провести промеж. согласование схемы зала/залов с ШП</t>
  </si>
  <si>
    <t>27.04.2026 16:51:03</t>
  </si>
  <si>
    <t>2026-04-27 16:51:03: Екатерина создал(-а) задачу;
2026-04-27 16:51:28: Екатерина изменил(-а) название на 2.15. Провести промеж. согласование схемы зала/залов с ШП;
2026-04-27 17:28:59: Екатерина изменил(-а) дату на 26.06.2026;
2026-04-27 17:29:13: Екатерина добавил(-а) тег PRE;
2026-04-28 18:49:00: Екатерина переместил(-а) задачу в проекте ЛИЧНО сентябрь 24.09.2026 в колонку Дивизион Конференции / К работе;
2026-04-29 09:53:25: Екатерина добавил(-а) тег страт-п-с-26-09;
2026-04-29 09:53:27: Екатерина добавил(-а) тег Продюсер;
2026-04-29 10:21:15: Екатерина изменил(-а) дату на 22.06.2026 - 26.06.2026;
2026-04-29 10:21:17: Екатерина изменил(-а) дату на 22.06.2026 - 25.06.2026;
2026-04-30 14:36:43: Екатерина убрал(-а) тег страт-п-с-26-09;
2026-04-30 14:36:46: Екатерина добавил(-а) тег страт-п-с-26-09</t>
  </si>
  <si>
    <t>2.18. Получить от спикеров не менее 90% подтверждений о прочтении  сообщений</t>
  </si>
  <si>
    <t>27.04.2026 16:50:33</t>
  </si>
  <si>
    <t>2026-04-27 16:50:33: Екатерина создал(-а) задачу;
2026-04-27 17:31:56: Екатерина изменил(-а) дату на 07.08.2026;
2026-04-27 17:32:01: Екатерина добавил(-а) тег PRE;
2026-04-27 17:34:59: Екатерина убрал(-а) тег PRE;
2026-04-27 17:35:01: Екатерина добавил(-а) тег PRO;
2026-04-28 18:49:15: Екатерина переместил(-а) задачу в проекте ЛИЧНО сентябрь 24.09.2026 в колонку Дивизион Конференции / К работе;
2026-04-29 09:55:23: Екатерина добавил(-а) тег страт-п-с-26-09;
2026-04-29 09:55:24: Екатерина добавил(-а) тег Продюсер;
2026-04-29 10:22:07: Екатерина изменил(-а) дату на 03.08.2026;
2026-04-29 10:22:10: Екатерина изменил(-а) дату на 03.08.2026 - 03.08.2026;
2026-04-29 10:22:10: Екатерина изменил(-а) дату на 03.08.2026 - 06.08.2026;
2026-04-30 14:40:08: Екатерина убрал(-а) тег страт-п-с-26-09;
2026-04-30 14:40:11: Екатерина добавил(-а) тег страт-п-с-26-09</t>
  </si>
  <si>
    <t>2.22. Написать ТЗ дизайнеру для подготовки презентации спикера - 3 слайда в гугл-документах:</t>
  </si>
  <si>
    <t>27.04.2026 16:49:12</t>
  </si>
  <si>
    <t>2026-04-27 16:49:13: Екатерина создал(-а) задачу;
2026-04-27 16:49:19: Екатерина изменил(-а) название на 2.22. Написать ТЗ дизайнеру для подготовки презентации спикера - 3 слайда в гугл-документах:;
2026-04-27 17:32:58: Екатерина изменил(-а) дату на 07.08.2026;
2026-04-27 17:33:03: Екатерина добавил(-а) тег PRE;
2026-04-27 17:35:29: Екатерина убрал(-а) тег PRE;
2026-04-27 17:35:32: Екатерина добавил(-а) тег PRO;
2026-04-28 16:17:19: Екатерина изменил(-а) название на х:;
2026-04-28 16:17:21: Екатерина изменил(-а) название на 2.22. Написать ТЗ дизайнеру для подготовки презентации спикера - 3 слайда в гугл-документах:;
2026-04-28 18:49:28: Екатерина переместил(-а) задачу в проекте ЛИЧНО сентябрь 24.09.2026 в колонку Дивизион Конференции / К работе;
2026-04-29 09:55:51: Екатерина добавил(-а) тег страт-п-с-26-09;
2026-04-29 09:55:52: Екатерина добавил(-а) тег Продюсер;
2026-04-29 10:23:02: Екатерина изменил(-а) дату на 03.08.2026 - 07.08.2026;
2026-04-29 10:23:05: Екатерина изменил(-а) дату на 03.08.2026 - 06.08.2026;
2026-04-30 14:45:04: Екатерина убрал(-а) тег страт-п-с-26-09;
2026-04-30 14:45:10: Екатерина добавил(-а) тег страт-п-с-26-09</t>
  </si>
  <si>
    <t>2.23. К проведению  еженед. совещания выполнено не менее  90% задач пред и текущ. спринтов + еженедельный отчет опубликовать в чате</t>
  </si>
  <si>
    <t>27.04.2026 16:48:32</t>
  </si>
  <si>
    <t>2026-04-27 16:48:32: Екатерина создал(-а) задачу;
2026-04-27 16:48:49: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
2026-04-27 16:48:51: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
2026-04-27 16:48:54: Екатерина изменил(-а) название на 2.23. К проведению еженед. совещания выполнено не менее 90% задач пред и текущ. спринтов + еженедельный отчет опубликован в чате;
2026-04-27 16:48:57: Екатерина изменил(-а) название на 2.23. К проведению еженед. совещания выполнено не менее 90% задач пред и текущ. спринтов + еженедельный отчет опубликовать в чате;
2026-04-27 17:33:28: Екатерина изменил(-а) дату на 14.08.2026;
2026-04-27 17:33:31: Екатерина добавил(-а) тег PRE;
2026-04-27 17:35:37: Екатерина убрал(-а) тег PRE;
2026-04-27 17:35:39: Екатерина добавил(-а) тег PRO;
2026-04-28 18:49:36: Екатерина переместил(-а) задачу в проекте ЛИЧНО сентябрь 24.09.2026 в колонку Дивизион Конференции / К работе;
2026-04-29 09:56:54: Екатерина добавил(-а) тег страт-п-с-26-09;
2026-04-29 09:56:59: Екатерина добавил(-а) тег Продюсер;
2026-04-29 10:23:20: Екатерина изменил(-а) дату на 10.08.2026 - 14.08.2026;
2026-04-29 10:23:22: Екатерина изменил(-а) дату на 10.08.2026 - 13.08.2026;
2026-04-30 14:45:29: Екатерина убрал(-а) тег страт-п-с-26-09;
2026-04-30 14:45:31: Екатерина добавил(-а) тег страт-п-с-26-09</t>
  </si>
  <si>
    <t>2.24.  Подписать со спикерами не менее 15-35%  договоров</t>
  </si>
  <si>
    <t>27.04.2026 16:48:30</t>
  </si>
  <si>
    <t>2026-04-27 16:48:30: Екатерина создал(-а) задачу;
2026-04-27 16:48:38: Екатерина изменил(-а) название на 2.24. Подписать со спикерами не менее 15-35% договоров;
2026-04-27 17:33:41: Екатерина изменил(-а) дату на 14.08.2026;
2026-04-27 17:33:47: Екатерина добавил(-а) тег PRE;
2026-04-27 17:35:43: Екатерина убрал(-а) тег PRE;
2026-04-27 17:35:45: Екатерина добавил(-а) тег PRO;
2026-04-28 18:49:39: Екатерина переместил(-а) задачу в проекте ЛИЧНО сентябрь 24.09.2026 в колонку Дивизион Конференции / К работе;
2026-04-29 09:57:09: Екатерина добавил(-а) тег страт-п-с-26-09;
2026-04-29 09:57:12: Екатерина добавил(-а) тег Продюсер;
2026-04-29 10:23:32: Екатерина изменил(-а) дату на 10.08.2026 - 14.08.2026;
2026-04-29 10:23:33: Екатерина изменил(-а) дату на 10.08.2026 - 13.08.2026;
2026-04-30 14:45:45: Екатерина убрал(-а) тег страт-п-с-26-09;
2026-04-30 14:45:52: Екатерина добавил(-а) тег страт-п-с-26-09</t>
  </si>
  <si>
    <t>2.25.  Провести согласование рассылок с Лидгеном</t>
  </si>
  <si>
    <t>27.04.2026 16:47:55</t>
  </si>
  <si>
    <t>2026-04-27 16:47:56: Екатерина создал(-а) задачу;
2026-04-27 16:48:07: Екатерина изменил(-а) название на 2.25. Провести согласование рассылок с Лидгеном;
2026-04-27 17:33:54: Екатерина изменил(-а) дату на 14.04.2026;
2026-04-27 17:33:58: Екатерина изменил(-а) дату на 14.08.2026;
2026-04-27 17:34:02: Екатерина добавил(-а) тег PRE;
2026-04-27 17:35:51: Екатерина убрал(-а) тег PRE;
2026-04-27 17:35:53: Екатерина добавил(-а) тег PRO;
2026-04-28 18:49:43: Екатерина переместил(-а) задачу в проекте ЛИЧНО сентябрь 24.09.2026 в колонку Дивизион Конференции / К работе;
2026-04-29 09:57:37: Екатерина добавил(-а) тег страт-п-с-26-09;
2026-04-29 09:57:40: Екатерина добавил(-а) тег Продюсер;
2026-04-29 10:23:38: Екатерина изменил(-а) дату на 10.08.2026 - 14.08.2026;
2026-04-29 10:23:39: Екатерина изменил(-а) дату на 10.08.2026 - 13.08.2026;
2026-04-30 14:46:05: Екатерина убрал(-а) тег страт-п-с-26-09;
2026-04-30 14:46:10: Екатерина добавил(-а) тег страт-п-с-26-09</t>
  </si>
  <si>
    <t>2.26. Брендированный шаблон презентации отправить подтвердившимся спикерам</t>
  </si>
  <si>
    <t>27.04.2026 16:47:53</t>
  </si>
  <si>
    <t>2026-04-27 16:47:55: Екатерина создал(-а) задачу;
2026-04-27 16:48:02: Екатерина изменил(-а) название на 2.26. Брендированный шаблон презентации отправить подтвердившимся спикерам;
2026-04-27 17:34:10: Екатерина изменил(-а) дату на 14.08.2026;
2026-04-27 17:34:14: Екатерина добавил(-а) тег PRE;
2026-04-27 17:35:56: Екатерина убрал(-а) тег PRE;
2026-04-27 17:35:58: Екатерина добавил(-а) тег PRO;
2026-04-28 18:49:50: Екатерина переместил(-а) задачу в проекте ЛИЧНО сентябрь 24.09.2026 в колонку Дивизион Конференции / К работе;
2026-04-29 09:57:48: Екатерина добавил(-а) тег страт-п-с-26-09;
2026-04-29 09:57:52: Екатерина добавил(-а) тег Продюсер;
2026-04-29 10:23:48: Екатерина изменил(-а) дату на 10.08.2026 - 14.08.2026;
2026-04-29 10:23:48: Екатерина изменил(-а) дату на 10.08.2026 - 13.08.2026;
2026-04-30 14:46:19: Екатерина убрал(-а) тег страт-п-с-26-09;
2026-04-30 14:46:23: Екатерина добавил(-а) тег страт-п-с-26-09</t>
  </si>
  <si>
    <t>2.40. Получить презентации от70% подтвержденных спикеров</t>
  </si>
  <si>
    <t>27.04.2026 16:34:14</t>
  </si>
  <si>
    <t>2026-04-27 16:34:15: Екатерина создал(-а) задачу;
2026-04-27 16:34:31: Екатерина изменил(-а) название на 2.40. Получены презентации от70% подтвержденных спикеров;
2026-04-27 16:36:15: Екатерина изменил(-а) название на 2.40. Получить презентации от70% подтвержденных спикеров;
2026-04-27 17:38:48: Екатерина добавил(-а) тег PRO;
2026-04-28 18:50:50: Екатерина переместил(-а) задачу в проекте ЛИЧНО сентябрь 24.09.2026 в колонку Дивизион Конференции / К работе;
2026-04-29 10:36:15: Екатерина изменил(-а) дату на 31.08.2026 - 31.08.2026;
2026-04-29 10:36:16: Екатерина изменил(-а) дату на 31.08.2026 - 03.09.2026;
2026-04-29 11:07:17: Екатерина добавил(-а) тег страт-п-с-26-09;
2026-04-29 11:07:18: Екатерина добавил(-а) тег Продюсер;
2026-04-30 14:49:24: Екатерина убрал(-а) тег страт-п-с-26-09;
2026-04-30 14:49:26: Екатерина добавил(-а) тег страт-п-с-26-09</t>
  </si>
  <si>
    <t>2.61. Проконтролировать выставление счета</t>
  </si>
  <si>
    <t>27.04.2026 16:24:29</t>
  </si>
  <si>
    <t>2026-04-27 16:24:29: Екатерина создал(-а) задачу;
2026-04-27 16:33:17: Екатерина изменил(-а) название на 2.61. Проконтролировано выставление счета;
2026-04-27 16:40:28: Екатерина изменил(-а) название на 2.61. Проконтролировать выставление счета;
2026-04-27 17:37:27: Екатерина добавил(-а) тег POST;
2026-04-27 17:44:06: Екатерина изменил(-а) дату на 02.10.2026;
2026-04-28 18:52:25: Екатерина переместил(-а) задачу в проекте ЛИЧНО сентябрь 24.09.2026 в колонку Дивизион Конференции / К работе;
2026-04-28 18:53:48: Екатерина изменил(-а) родительскую задачу на #81 2.54. Провести модерацию мероприятия;
2026-04-29 10:19:06: Екатерина изменил(-а) дату на 28.09.2026 - 02.10.2026;
2026-04-29 10:19:07: Екатерина изменил(-а) дату на 28.09.2026 - 01.10.2026;
2026-04-29 11:09:39: Екатерина добавил(-а) тег страт-п-с-26-09;
2026-04-29 11:09:39: Екатерина добавил(-а) тег Продюсер;
2026-04-30 14:55:09: Екатерина убрал(-а) тег страт-п-с-26-09;
2026-04-30 14:55:11: Екатерина добавил(-а) тег страт-п-с-26-09</t>
  </si>
  <si>
    <t>27.04.2026 16:24:17</t>
  </si>
  <si>
    <t>2026-04-27 16:24:17: Екатерина создал(-а) задачу;
2026-04-27 16:32:32: Екатерина изменил(-а) название на 2.56. Подготовлен отчет к Итоговому совещанию для рабочей группы;
2026-04-27 16:39:57: Екатерина изменил(-а) название на 2.56. Подготовить отчет к Итоговому совещанию для рабочей группы;
2026-04-27 17:36:55: Екатерина добавил(-а) тег POST;
2026-04-27 17:42:28: Екатерина изменил(-а) дату на 02.10.2026;
2026-04-27 17:43:16: Екатерина переместил(-а) задачу в проекте ЛИЧНО сентябрь 24.09.2026 в колонку 2. Продюсер Лично сентябрь / В работе;
2026-04-27 17:43:25: Екатерина переместил(-а) задачу в проекте ЛИЧНО сентябрь 24.09.2026 в колонку 2. Продюсер Лично сентябрь / К работе;
2026-04-28 18:52:29: Екатерина переместил(-а) задачу в проекте ЛИЧНО сентябрь 24.09.2026 в колонку Дивизион Конференции / К работе;
2026-04-29 10:17:28: Екатерина изменил(-а) дату на 28.09.2026 - 02.10.2026;
2026-04-29 10:17:29: Екатерина изменил(-а) дату на 04.09.2026 - 02.10.2026;
2026-04-29 10:17:34: Екатерина изменил(-а) дату на 28.09.2026 - 02.10.2026;
2026-04-29 10:17:37: Екатерина изменил(-а) дату на 28.09.2026 - 01.10.2026;
2026-04-29 11:09:15: Екатерина добавил(-а) тег страт-п-с-26-09;
2026-04-29 11:09:16: Екатерина добавил(-а) тег Продюсер;
2026-04-30 14:54:12: Екатерина убрал(-а) тег страт-п-с-26-09;
2026-04-30 14:54:14: Екатерина добавил(-а) тег страт-п-с-26-09</t>
  </si>
  <si>
    <t>1.04. Провести контрольное совещание по задачам проекта</t>
  </si>
  <si>
    <t>27.04.2026 13:15:33</t>
  </si>
  <si>
    <t>PRE, ШП, страт-п-с-26-09</t>
  </si>
  <si>
    <t>2026-04-27 13:15:33: Екатерина создал(-а) задачу;
2026-04-27 13:15:45: Екатерина добавил(-а) подзадачу #38 1.03. Произвести приемку Тизера;
2026-04-27 13:15:46: Екатерина убрал(-а) подзадачу #38 1.03. Произвести приемку Тизера;
2026-04-27 13:23:48: Екатерина добавил(-а) файл https://api.weeek.net/ws/941227/files/a1a4a6a8-deb7-4cf1-9c2f-ad8f1bd32df5;
2026-04-27 13:23:48: Екатерина изменил(-а) название на 1.04. Провести контрольное совещание по задачам проекта
Провести приемку схемы зала с Координтором
Провести контрольное совещание по задачам проекта;
2026-04-27 13:23:53: Екатерина изменил(-а) название на 1.04. Провести контрольное совещание по задачам проекта;
2026-04-27 13:25:58: Екатерина изменил(-а) дату на 05.06.2026;
2026-04-27 13:26:12: Екатерина изменил(-а) дату на 04.06.2026;
2026-04-27 13:26:50: Екатерина добавил(-а) тег PRE;
2026-04-27 15:23:12: Екатерина назначил(-а) Екатерина исполнителем;
2026-04-27 15:27:32: Екатерина изменил(-а) дату на 05.06.2026;
2026-04-28 13:15:51: Екатерина изменил(-а) дату на 01.06.2026 - 05.06.2026;
2026-04-28 13:16:08: Екатерина изменил(-а) дату на 04.06.2026 - 05.06.2026;
2026-04-28 13:16:09: Екатерина изменил(-а) дату на 01.06.2026 - 05.06.2026;
2026-04-28 13:16:11: Екатерина изменил(-а) дату на 04.06.2026 - 05.06.2026;
2026-04-28 13:16:16: Екатерина изменил(-а) дату на 01.06.2026 - 05.06.2026;
2026-04-28 13:16:19: Екатерина изменил(-а) дату на 01.06.2026 - 04.06.2026;
2026-04-28 15:51:26: Екатерина добавил(-а) тег страт-п-с-26-09;
2026-04-28 15:51:29: Екатерина добавил(-а) тег ШП;
2026-04-30 10:31:20: Екатерина назначил(-а) Елена исполнителем;
2026-04-30 14:31:53: Екатерина убрал(-а) тег страт-п-с-26-09;
2026-04-30 14:31:56: Екатерина добавил(-а) тег страт-п-с-26-09</t>
  </si>
  <si>
    <t>1.05. Провести приемку схемы зала с Координатором</t>
  </si>
  <si>
    <t>27.04.2026 13:15:30</t>
  </si>
  <si>
    <t>2026-04-27 13:15:30: Екатерина создал(-а) задачу;
2026-04-27 13:24:00: Екатерина изменил(-а) название на 1.05. Провести приемку схемы зала с Координтором
Провести контрольное совещание по задачам проекта;
2026-04-27 13:24:03: Екатерина изменил(-а) название на 1.05. Провести приемку схемы зала с Координтором;
2026-04-27 13:24:06: Екатерина изменил(-а) название на 1.05. Провести приемку схемы зала с Координfтором;
2026-04-27 13:24:07: Екатерина изменил(-а) название на 1.05. Провести приемку схемы зала с Координтором;
2026-04-27 13:24:07: Екатерина изменил(-а) название на 1.05. Провести приемку схемы зала с Координатором;
2026-04-27 13:25:15: Екатерина изменил(-а) дату на 08.04.2021;
2026-04-27 13:26:07: Екатерина изменил(-а) дату на 04.06.2021;
2026-04-27 13:26:56: Екатерина добавил(-а) тег PRE;
2026-04-27 15:23:21: Екатерина назначил(-а) Екатерина исполнителем;
2026-04-27 15:27:05: Екатерина убрал(-а) дату;
2026-04-27 15:27:22: Екатерина изменил(-а) дату на 05.06.2026;
2026-04-28 13:16:42: Екатерина изменил(-а) дату на 01.06.2026;
2026-04-28 13:16:45: Екатерина изменил(-а) дату на 01.06.2026 - 01.06.2026;
2026-04-28 13:16:47: Екатерина изменил(-а) дату на 01.06.2026 - 04.06.2026;
2026-04-28 13:16:51: Екатерина изменил(-а) дату на 04.06.2026 - 04.06.2026;
2026-04-28 13:16:53: Екатерина изменил(-а) дату на 01.06.2026 - 04.06.2026;
2026-04-28 15:51:37: Екатерина добавил(-а) тег ШП;
2026-04-28 15:51:41: Екатерина добавил(-а) тег страт-п-с-26-09;
2026-04-30 10:31:23: Екатерина назначил(-а) Елена исполнителем</t>
  </si>
  <si>
    <t>1.06. Провести контрольное совещание по задачам проекта</t>
  </si>
  <si>
    <t>27.04.2026 13:15:27</t>
  </si>
  <si>
    <t>2026-04-27 13:15:27: Екатерина создал(-а) задачу;
2026-04-27 13:29:30: Екатерина изменил(-а) название на 1.06. 1.6. Проведено контрольное совещание по задачам проекта 
1.7. Приемка Программы и Концепции, отдельное внимание к выводам по исследованию
1.8. Согласование сметы расходов по Рабочей группе с фин отделом;
2026-04-27 13:29:36: Екатерина изменил(-а) название на 1.06. 1.6. Проведено контрольное совещание по задачам проекта;
2026-04-27 13:29:38: Екатерина изменил(-а) название на 1.06. Проведено контрольное совещание по задачам проекта;
2026-04-27 13:29:46: Екатерина изменил(-а) дату на 05.06.2026;
2026-04-27 13:29:51: Екатерина добавил(-а) тег PRE;
2026-04-27 13:33:15: Екатерина изменил(-а) дату на 19.06.2026;
2026-04-27 13:36:58: Екатерина изменил(-а) название на 1.06. Провеcn контрольное совещание по задачам проекта;
2026-04-27 13:36:59: Екатерина изменил(-а) название на 1.06. Прове контрольное совещание по задачам проекта;
2026-04-27 13:37:00: Екатерина изменил(-а) название на 1.06. Провести контрольное совещание по задачам проекта;
2026-04-27 15:23:24: Екатерина назначил(-а) Екатерина исполнителем;
2026-04-28 13:17:19: Екатерина изменил(-а) дату на 15.06.2026;
2026-04-28 13:17:20: Екатерина изменил(-а) дату на 18.06.2026;
2026-04-28 13:17:22: Екатерина изменил(-а) дату на 15.06.2026;
2026-04-28 13:17:22: Екатерина изменил(-а) дату на 15.06.2026 - 15.06.2026;
2026-04-28 13:17:26: Екатерина изменил(-а) дату на 15.06.2026 - 18.06.2026;
2026-04-28 15:51:50: Екатерина добавил(-а) тег ШП;
2026-04-28 15:51:54: Екатерина добавил(-а) тег страт-п-с-26-09;
2026-04-30 10:31:29: Екатерина назначил(-а) Елена исполнителем;
2026-04-30 10:31:29: Екатерина назначил(-а) Нелли исполнителем;
2026-04-30 10:31:36: Екатерина отстранил(-а) Нелли от задачи</t>
  </si>
  <si>
    <t>1.07. Провести приемку Программы и Концепции, отдельное внимание к выводам по исследованию</t>
  </si>
  <si>
    <t>27.04.2026 13:15:22</t>
  </si>
  <si>
    <t>2026-04-27 13:15:23: Екатерина создал(-а) задачу;
2026-04-27 13:29:58: Екатерина изменил(-а) название на 1.07. 1.7. Приемка Программы и Концепции, отдельное внимание к выводам по исследованию
1.8. Согласование сметы расходов по Рабочей группе с фин отделом;
2026-04-27 13:30:00: Екатерина изменил(-а) название на 1.07. Приемка Программы и Концепции, отдельное внимание к выводам по исследованию
1.8. Согласование сметы расходов по Рабочей группе с фин отделом;
2026-04-27 13:30:05: Екатерина изменил(-а) название на 1.07. Приемка Программы и Концепции, отдельное внимание к выводам по исследованию;
2026-04-27 13:30:09: Екатерина изменил(-а) дату на 05.06.2026;
2026-04-27 13:30:15: Екатерина добавил(-а) тег PRE;
2026-04-27 13:33:55: Екатерина изменил(-а) дату на 19.06.2026;
2026-04-27 13:37:06: Екатерина изменил(-а) название на 1.07. ППриемка Программы и Концепции, отдельное внимание к выводам по исследованию;
2026-04-27 13:37:07: Екатерина изменил(-а) название на 1.07. ПровестиПриемка Программы и Концепции, отдельное внимание к выводам по исследованию;
2026-04-27 13:37:09: Екатерина изменил(-а) название на 1.07. Провести приемка Программы и Концепции, отдельное внимание к выводам по исследованию;
2026-04-27 13:37:11: Екатерина изменил(-а) название на 1.07. Провести приемку Программы и Концепции, отдельное внимание к выводам по исследованию;
2026-04-27 15:23:27: Екатерина назначил(-а) Екатерина исполнителем;
2026-04-28 13:17:39: Екатерина изменил(-а) дату на 15.06.2026;
2026-04-28 13:17:42: Екатерина изменил(-а) дату на 15.06.2026 - 15.06.2026;
2026-04-28 13:17:44: Екатерина изменил(-а) дату на 15.06.2026 - 18.06.2026;
2026-04-28 15:52:09: Екатерина добавил(-а) тег ШП;
2026-04-28 15:52:12: Екатерина добавил(-а) тег страт-п-с-26-09;
2026-04-30 10:31:40: Екатерина назначил(-а) Елена исполнителем</t>
  </si>
  <si>
    <t>1.08. Согласовать смету расходов по Рабочей группе с фин отделом</t>
  </si>
  <si>
    <t>27.04.2026 13:15:17</t>
  </si>
  <si>
    <t>2026-04-27 13:15:17: Екатерина создал(-а) задачу;
2026-04-27 13:30:24: Екатерина изменил(-а) название на 1.08. 1.8. Согласование сметы расходов по Рабочей группе с фин отделом;
2026-04-27 13:30:26: Екатерина изменил(-а) название на 1.08. Согласование сметы расходов по Рабочей группе с фин отделом;
2026-04-27 13:30:29: Екатерина добавил(-а) тег PRE;
2026-04-27 13:30:41: Екатерина изменил(-а) дату на 05.06.2026;
2026-04-27 13:34:12: Екатерина изменил(-а) дату на 19.06.2026;
2026-04-27 13:37:19: Екатерина изменил(-а) название на 1.08. Согласовать сметы расходов по Рабочей группе с фин отделом;
2026-04-27 13:37:22: Екатерина изменил(-а) название на 1.08. Согласовать смету расходов по Рабочей группе с фин отделом;
2026-04-27 15:23:33: Екатерина назначил(-а) Екатерина исполнителем;
2026-04-28 13:17:56: Екатерина изменил(-а) дату на 15.06.2026;
2026-04-28 13:17:58: Екатерина изменил(-а) дату на 15.06.2026 - 15.06.2026;
2026-04-28 13:17:59: Екатерина изменил(-а) дату на 15.06.2026 - 18.06.2026;
2026-04-28 13:18:07: Екатерина изменил(-а) дату на 18.06.2026 - 18.06.2026;
2026-04-28 13:18:10: Екатерина изменил(-а) дату на 15.06.2026 - 18.06.2026;
2026-04-28 15:52:18: Екатерина добавил(-а) тег ШП;
2026-04-28 15:52:24: Екатерина добавил(-а) тег страт-п-с-26-09;
2026-04-30 10:31:45: Екатерина назначил(-а) Елена исполнителем</t>
  </si>
  <si>
    <t>1.09. Провести контрольное совещание по задачам проекта</t>
  </si>
  <si>
    <t>27.04.2026 13:15:12</t>
  </si>
  <si>
    <t>PRO, ШП, страт-п-с-26-09</t>
  </si>
  <si>
    <t>2026-04-27 13:15:12: Екатерина создал(-а) задачу;
2026-04-27 13:26:57: Екатерина изменил(-а) дату на 07.04.2021;
2026-04-27 13:31:13: Екатерина изменил(-а) название на 1.07. 1.9. Проведено контрольное совещание по задачам проекта
1.10. Проведена приемка продукта к выпуску в продажу: РГ презентовала проект ШП;
2026-04-27 13:31:15: Екатерина изменил(-а) название на 1.07. Проведено контрольное совещание по задачам проекта
1.10. Проведена приемка продукта к выпуску в продажу: РГ презентовала проект ШП;
2026-04-27 13:31:18: Екатерина изменил(-а) название на 1.07. Проведено контрольное совещание по задачам проекта;
2026-04-27 13:32:00: Екатерина изменил(-а) дату на 31.07.2026;
2026-04-27 13:34:53: Екатерина добавил(-а) тег PRO;
2026-04-27 13:35:32: Екатерина изменил(-а) название на 1.09. Проведено контрольное совещание по задачам проекта;
2026-04-27 13:37:30: Екатерина изменил(-а) название на 1.09. Провести контрольное совещание по задачам проекта;
2026-04-27 15:23:38: Екатерина назначил(-а) Екатерина исполнителем;
2026-04-28 13:18:32: Екатерина изменил(-а) дату на 27.07.2026;
2026-04-28 13:18:35: Екатерина изменил(-а) дату на 27.07.2026 - 27.07.2026;
2026-04-28 13:18:35: Екатерина изменил(-а) дату на 27.07.2026 - 30.07.2026;
2026-04-28 15:52:32: Екатерина добавил(-а) тег ШП;
2026-04-28 15:52:35: Екатерина добавил(-а) тег страт-п-с-26-09;
2026-04-30 10:31:48: Екатерина назначил(-а) Елена исполнителем</t>
  </si>
  <si>
    <t>1.10. Провести приемку продукта к выпуску в продажу: РГ презентовала проект ШП</t>
  </si>
  <si>
    <t>27.04.2026 13:15:04</t>
  </si>
  <si>
    <t>2026-04-27 13:15:05: Екатерина создал(-а) задачу;
2026-04-27 13:35:18: Екатерина изменил(-а) название на 1.08. Проведена приемка продукта к выпуску в продажу: РГ презентовала проект ШП;
2026-04-27 13:35:22: Екатерина изменил(-а) название на 1.10. Проведена приемка продукта к выпуску в продажу: РГ презентовала проект ШП;
2026-04-27 13:35:46: Екатерина изменил(-а) дату на 31.07.2026;
2026-04-27 13:35:50: Екатерина добавил(-а) тег PRO;
2026-04-27 13:37:36: Екатерина изменил(-а) название на 1.10. Провести приемка продукта к выпуску в продажу: РГ презентовала проект ШП;
2026-04-27 13:37:38: Екатерина изменил(-а) название на 1.10. Провести приемку продукта к выпуску в продажу: РГ презентовала проект ШП;
2026-04-27 15:23:50: Екатерина назначил(-а) Екатерина исполнителем;
2026-04-27 15:31:55: Екатерина добавил(-а) тег старт вехи Pro;
2026-04-27 15:32:09: Екатерина убрал(-а) тег старт вехи Pro;
2026-04-27 15:32:15: Екатерина добавил(-а) тег старт вехи Pro;
2026-04-28 13:18:50: Екатерина изменил(-а) дату на 27.07.2026;
2026-04-28 13:18:51: Екатерина изменил(-а) дату на 30.07.2026;
2026-04-28 13:18:54: Екатерина изменил(-а) дату на 27.07.2026;
2026-04-28 13:18:55: Екатерина изменил(-а) дату на 27.07.2026 - 27.07.2026;
2026-04-28 13:18:57: Екатерина изменил(-а) дату на 27.07.2026 - 30.07.2026;
2026-04-28 15:52:49: Екатерина убрал(-а) тег старт вехи Pro;
2026-04-28 15:53:10: Екатерина добавил(-а) тег страт-п-с-26-09;
2026-04-28 15:53:13: Екатерина добавил(-а) тег ШП;
2026-04-30 10:31:51: Екатерина назначил(-а) Елена исполнителем;
2026-04-30 14:32:15: Екатерина убрал(-а) тег страт-п-с-26-09;
2026-04-30 14:32:18: Екатерина добавил(-а) тег страт-п-с-26-09</t>
  </si>
  <si>
    <t>1.11. Проведен контроль план/факта по набору мероприятия</t>
  </si>
  <si>
    <t>27.04.2026 13:14:54</t>
  </si>
  <si>
    <t>2026-04-27 13:14:56: Екатерина создал(-а) задачу;
2026-04-27 13:39:10: Екатерина изменил(-а) название на 1.11. Проведен контроль план/факта по набору мероприятия;
2026-04-27 13:39:22: Екатерина изменил(-а) дату на 07.08.2026;
2026-04-27 13:40:11: Екатерина добавил(-а) тег PRO;
2026-04-27 15:23:55: Екатерина назначил(-а) Екатерина исполнителем;
2026-04-28 13:19:06: Екатерина изменил(-а) дату на 03.08.2026;
2026-04-28 13:19:10: Екатерина изменил(-а) дату на 03.08.2026 - 03.08.2026;
2026-04-28 13:19:12: Екатерина изменил(-а) дату на 03.08.2026 - 06.08.2026;
2026-04-28 15:56:49: Екатерина добавил(-а) тег страт-п-с-26-09;
2026-04-28 15:57:42: Екатерина добавил(-а) тег ШП;
2026-04-30 10:31:54: Екатерина назначил(-а) Елена исполнителем;
2026-04-30 14:32:33: Екатерина убрал(-а) тег страт-п-с-26-09;
2026-04-30 14:32:35: Екатерина добавил(-а) тег страт-п-с-26-09</t>
  </si>
  <si>
    <t>1.12.Провести контрольное совещание по задачам проекта</t>
  </si>
  <si>
    <t>27.04.2026 13:14:52</t>
  </si>
  <si>
    <t>2026-04-27 13:14:52: Екатерина создал(-а) задачу;
2026-04-27 14:35:17: Екатерина изменил(-а) название на 1.12. Провести контрольное совещание по задачам проекта;
2026-04-27 14:35:19: Екатерина изменил(-а) название на 1.12.Провести контрольное совещание по задачам проекта;
2026-04-27 14:59:25: Екатерина изменил(-а) дату на 14.08.2026;
2026-04-27 14:59:29: Екатерина добавил(-а) тег PRO;
2026-04-27 15:24:01: Екатерина назначил(-а) Екатерина исполнителем;
2026-04-28 13:19:26: Екатерина изменил(-а) дату на 10.08.2026;
2026-04-28 13:19:30: Екатерина изменил(-а) дату на 10.08.2026 - 10.08.2026;
2026-04-28 13:19:31: Екатерина изменил(-а) дату на 10.08.2026 - 13.08.2026;
2026-04-28 15:56:57: Екатерина добавил(-а) тег старт вехи Pro;
2026-04-28 15:56:58: Екатерина добавил(-а) тег страт-п-с-26-09;
2026-04-28 15:57:34: Екатерина убрал(-а) тег старт вехи Pro;
2026-04-28 15:57:36: Екатерина добавил(-а) тег ШП;
2026-04-30 10:31:58: Екатерина назначил(-а) Елена исполнителем;
2026-04-30 14:32:45: Екатерина убрал(-а) тег страт-п-с-26-09;
2026-04-30 14:32:48: Екатерина добавил(-а) тег страт-п-с-26-09</t>
  </si>
  <si>
    <t>1.13. Провести контроль план/факта по набору мероприятия</t>
  </si>
  <si>
    <t>27.04.2026 13:14:49</t>
  </si>
  <si>
    <t>2026-04-27 13:14:49: Екатерина создал(-а) задачу;
2026-04-27 14:35:35: Екатерина изменил(-а) название на 1.13. Провести контроль план/факта по набору мероприятия;
2026-04-27 14:59:39: Екатерина изменил(-а) дату на 14.08.2026;
2026-04-27 14:59:45: Екатерина добавил(-а) тег PRO;
2026-04-27 15:24:03: Екатерина назначил(-а) Екатерина исполнителем;
2026-04-28 13:19:45: Екатерина изменил(-а) дату на 10.08.2026;
2026-04-28 13:19:47: Екатерина изменил(-а) дату на 10.08.2026 - 10.08.2026;
2026-04-28 13:19:50: Екатерина изменил(-а) дату на 10.08.2026 - 13.08.2026;
2026-04-28 15:57:07: Екатерина добавил(-а) тег POST;
2026-04-28 15:57:17: Екатерина убрал(-а) тег POST;
2026-04-28 15:57:20: Екатерина добавил(-а) тег страт-п-с-26-09;
2026-04-28 15:57:26: Екатерина добавил(-а) тег ШП;
2026-04-30 10:32:01: Екатерина назначил(-а) Елена исполнителем;
2026-04-30 14:32:56: Екатерина убрал(-а) тег страт-п-с-26-09;
2026-04-30 14:32:58: Екатерина добавил(-а) тег страт-п-с-26-09</t>
  </si>
  <si>
    <t>1.14. Провести контроль план/факта по набору мероприятия</t>
  </si>
  <si>
    <t>27.04.2026 13:14:45</t>
  </si>
  <si>
    <t>2026-04-27 13:14:46: Екатерина создал(-а) задачу;
2026-04-27 14:35:47: Екатерина изменил(-а) название на 1.14. Провести контроль план/факта по набору мероприятия;
2026-04-27 15:00:10: Екатерина изменил(-а) дату на 21.08.2026;
2026-04-27 15:00:14: Екатерина добавил(-а) тег PRO;
2026-04-27 15:23:29: Екатерина назначил(-а) Екатерина исполнителем;
2026-04-28 13:19:59: Екатерина изменил(-а) дату на 17.08.2026;
2026-04-28 13:19:59: Екатерина изменил(-а) дату на 20.08.2026;
2026-04-28 13:20:02: Екатерина изменил(-а) дату на 17.08.2026 - 20.08.2026;
2026-04-28 15:58:03: Екатерина добавил(-а) тег страт-п-с-26-09;
2026-04-28 15:58:05: Екатерина добавил(-а) тег ШП;
2026-04-30 10:32:04: Екатерина назначил(-а) Елена исполнителем;
2026-04-30 14:33:04: Екатерина убрал(-а) тег страт-п-с-26-09;
2026-04-30 14:33:16: Екатерина добавил(-а) тег страт-п-с-26-09</t>
  </si>
  <si>
    <t>1.15. Провести контрольное совещание по задачам проекта</t>
  </si>
  <si>
    <t>27.04.2026 13:14:41</t>
  </si>
  <si>
    <t>2026-04-27 13:14:41: Екатерина создал(-а) задачу;
2026-04-27 14:36:22: Екатерина изменил(-а) название на 1.15. Провести контрольное совещание по задачам проекта;
2026-04-27 15:00:39: Екатерина изменил(-а) дату на 28.08.2026;
2026-04-27 15:00:43: Екатерина добавил(-а) тег PRO;
2026-04-27 15:24:09: Екатерина назначил(-а) Екатерина исполнителем;
2026-04-28 13:20:14: Екатерина изменил(-а) дату на 24.08.2026;
2026-04-28 13:20:16: Екатерина изменил(-а) дату на 27.08.2026;
2026-04-28 13:20:18: Екатерина изменил(-а) дату на 24.08.2026;
2026-04-28 13:20:18: Екатерина изменил(-а) дату на 24.08.2026 - 24.08.2026;
2026-04-28 13:20:21: Екатерина изменил(-а) дату на 24.08.2026 - 27.08.2026;
2026-04-28 15:58:12: Екатерина добавил(-а) тег Операционный директор;
2026-04-28 15:58:13: Екатерина добавил(-а) тег ШП;
2026-04-30 10:32:07: Екатерина назначил(-а) Елена исполнителем;
2026-04-30 14:33:33: Екатерина убрал(-а) тег Операционный директор;
2026-04-30 14:33:37: Екатерина добавил(-а) тег Операционный директор;
2026-04-30 14:33:42: Екатерина убрал(-а) тег Операционный директор;
2026-04-30 14:33:48: Екатерина добавил(-а) тег страт-п-с-26-09</t>
  </si>
  <si>
    <t>1.16. Провести контроль план/факта по набору мероприятия</t>
  </si>
  <si>
    <t>27.04.2026 13:14:37</t>
  </si>
  <si>
    <t>2026-04-27 13:14:37: Екатерина создал(-а) задачу;
2026-04-27 14:36:41: Екатерина изменил(-а) название на 1.16. Провести контроль план/факта по набору мероприятия;
2026-04-27 15:00:52: Екатерина изменил(-а) дату на 28.08.2026;
2026-04-27 15:00:56: Екатерина добавил(-а) тег PRO;
2026-04-27 15:24:11: Екатерина назначил(-а) Екатерина исполнителем;
2026-04-28 13:20:30: Екатерина изменил(-а) дату на 24.08.2026;
2026-04-28 13:20:33: Екатерина изменил(-а) дату на 24.08.2026 - 24.08.2026;
2026-04-28 13:20:35: Екатерина изменил(-а) дату на 24.08.2026 - 27.08.2026;
2026-04-28 13:20:39: Екатерина изменил(-а) дату на 27.08.2026 - 27.08.2026;
2026-04-28 13:20:43: Екатерина изменил(-а) дату на 24.08.2026 - 27.08.2026;
2026-04-28 15:58:18: Екатерина добавил(-а) тег ШП;
2026-04-28 15:58:21: Екатерина добавил(-а) тег PRE;
2026-04-28 15:58:30: Екатерина убрал(-а) тег PRE;
2026-04-28 15:58:32: Екатерина добавил(-а) тег страт-п-с-26-09;
2026-04-30 10:32:08: Екатерина назначил(-а) Елена исполнителем</t>
  </si>
  <si>
    <t>1.17. Провести контроль план/факта по набору мероприятия</t>
  </si>
  <si>
    <t>27.04.2026 13:14:33</t>
  </si>
  <si>
    <t>2026-04-27 13:14:33: Екатерина создал(-а) задачу;
2026-04-27 14:36:56: Екатерина изменил(-а) название на 1.17. Провести контроль план/факта по набору мероприятия;
2026-04-27 15:01:14: Екатерина изменил(-а) дату на 04.09.2026;
2026-04-27 15:01:18: Екатерина добавил(-а) тег PRO;
2026-04-27 15:23:58: Екатерина назначил(-а) Екатерина исполнителем;
2026-04-28 13:20:56: Екатерина изменил(-а) дату на 31.08.2026;
2026-04-28 13:21:06: Екатерина изменил(-а) дату на 27.07.2026 - 31.08.2026;
2026-04-28 13:21:28: Екатерина изменил(-а) дату на 31.07.2026 - 31.08.2026;
2026-04-28 13:21:31: Екатерина изменил(-а) дату на 30.07.2026 - 31.08.2026;
2026-04-28 13:21:36: Екатерина изменил(-а) дату на 27.07.2026 - 31.08.2026;
2026-04-28 13:21:43: Екатерина изменил(-а) дату на 27.07.2026 - 30.07.2026;
2026-04-28 13:22:12: Екатерина изменил(-а) дату на 27.07.2026 - 31.08.2026;
2026-04-28 13:22:15: Екатерина изменил(-а) дату на 31.08.2026 - 31.08.2026;
2026-04-28 13:22:18: Екатерина изменил(-а) дату на 31.08.2026 - 03.09.2026;
2026-04-28 15:58:44: Екатерина добавил(-а) тег ШП;
2026-04-28 15:58:48: Екатерина добавил(-а) тег страт-п-с-26-09;
2026-04-30 10:32:12: Екатерина назначил(-а) Елена исполнителем</t>
  </si>
  <si>
    <t>1.18. Провеcти контрольное совещание по задачам проекта</t>
  </si>
  <si>
    <t>27.04.2026 13:14:30</t>
  </si>
  <si>
    <t>2026-04-27 13:14:30: Екатерина создал(-а) задачу;
2026-04-27 14:37:09: Екатерина изменил(-а) название на 1.18. Провеcти контрольное совещание по задачам проекта;
2026-04-27 14:37:18: Екатерина изменил(-а) название на 1.18.Провеcти контрольное совещание по задачам проекта;
2026-04-27 14:37:18: Екатерина изменил(-а) название на 1.18. Провеcти контрольное совещание по задачам проекта;
2026-04-27 15:01:20: Екатерина изменил(-а) дату на 02.05.2021;
2026-04-27 15:01:59: Екатерина убрал(-а) дату;
2026-04-27 15:02:47: Екатерина изменил(-а) дату на 11.09.2026;
2026-04-27 15:03:59: Екатерина добавил(-а) тег PRO;
2026-04-27 15:24:13: Екатерина назначил(-а) Екатерина исполнителем;
2026-04-28 13:22:32: Екатерина изменил(-а) дату на 07.09.2026 - 11.09.2026;
2026-04-28 13:22:33: Екатерина изменил(-а) дату на 10.09.2026 - 11.09.2026;
2026-04-28 13:22:39: Екатерина изменил(-а) дату на 07.09.2026 - 11.09.2026;
2026-04-28 13:22:41: Екатерина изменил(-а) дату на 07.09.2026 - 10.09.2026;
2026-04-28 15:58:55: Екатерина добавил(-а) тег ШП;
2026-04-28 15:58:59: Екатерина добавил(-а) тег страт-п-с-26-09;
2026-04-30 10:32:14: Екатерина назначил(-а) Елена исполнителем</t>
  </si>
  <si>
    <t>1.19. Провести контроль план/факта по набору мероприятия</t>
  </si>
  <si>
    <t>27.04.2026 13:14:25</t>
  </si>
  <si>
    <t>2026-04-27 13:14:25: Екатерина создал(-а) задачу;
2026-04-27 14:37:33: Екатерина изменил(-а) название на 1.19. Провести контроль план/факта по набору мероприятия;
2026-04-27 15:04:13: Екатерина изменил(-а) дату на 11.09.2026;
2026-04-27 15:04:17: Екатерина добавил(-а) тег PRO;
2026-04-27 15:24:16: Екатерина назначил(-а) Екатерина исполнителем;
2026-04-28 13:23:03: Екатерина изменил(-а) дату на 07.09.2026;
2026-04-28 13:23:09: Екатерина изменил(-а) дату на 10.09.2026;
2026-04-28 13:23:11: Екатерина изменил(-а) дату на 07.09.2026 - 10.09.2026;
2026-04-28 13:23:15: Екатерина изменил(-а) дату на 10.09.2026 - 10.09.2026;
2026-04-28 13:23:20: Екатерина изменил(-а) дату на 07.09.2026 - 10.09.2026;
2026-04-28 15:59:07: Екатерина добавил(-а) тег страт-п-с-26-09;
2026-04-28 15:59:10: Екатерина добавил(-а) тег ШП;
2026-04-30 10:32:16: Екатерина назначил(-а) Елена исполнителем;
2026-04-30 14:33:58: Екатерина убрал(-а) тег страт-п-с-26-09;
2026-04-30 14:34:01: Екатерина добавил(-а) тег страт-п-с-26-09</t>
  </si>
  <si>
    <t>1.20. Провести контрольное совещание по задачам проекта</t>
  </si>
  <si>
    <t>27.04.2026 13:14:21</t>
  </si>
  <si>
    <t>2026-04-27 13:14:21: Екатерина создал(-а) задачу;
2026-04-27 14:37:47: Екатерина изменил(-а) название на 1.20. Провести контрольное совещание по задачам проекта;
2026-04-27 15:04:28: Екатерина изменил(-а) дату на 11.09.2026;
2026-04-27 15:04:34: Екатерина добавил(-а) тег PRO;
2026-04-27 15:24:19: Екатерина назначил(-а) Екатерина исполнителем;
2026-04-27 15:32:46: Екатерина добавил(-а) тег финиш вехи Post;
2026-04-27 15:33:01: Екатерина убрал(-а) тег финиш вехи Post;
2026-04-28 15:16:47: Екатерина изменил(-а) дату на 07.09.2026;
2026-04-28 15:16:50: Екатерина изменил(-а) дату на 07.09.2026 - 07.09.2026;
2026-04-28 15:16:53: Екатерина изменил(-а) дату на 07.09.2026 - 10.09.2026;
2026-04-28 16:00:14: Екатерина добавил(-а) тег страт-п-с-26-09;
2026-04-28 16:00:16: Екатерина добавил(-а) тег ШП;
2026-04-30 10:32:19: Екатерина назначил(-а) Елена исполнителем;
2026-04-30 14:34:13: Екатерина убрал(-а) тег страт-п-с-26-09;
2026-04-30 14:34:16: Екатерина добавил(-а) тег страт-п-с-26-09</t>
  </si>
  <si>
    <t>1.21. Сделать сверку сметы с планом по расходам на максимальное соответствие бюджету</t>
  </si>
  <si>
    <t>11.09.2026</t>
  </si>
  <si>
    <t>27.04.2026 13:14:17</t>
  </si>
  <si>
    <t>2026-04-27 13:14:18: Екатерина создал(-а) задачу;
2026-04-27 14:38:01: Екатерина изменил(-а) название на 1.21. Сделать сверку сметы с планом по расходам на максимальное соответствие бюджету;
2026-04-27 15:04:52: Екатерина изменил(-а) дату на 11.09.2026;
2026-04-27 15:04:56: Екатерина добавил(-а) тег PRO;
2026-04-27 15:24:21: Екатерина назначил(-а) Екатерина исполнителем;
2026-04-28 16:00:25: Екатерина добавил(-а) тег ШП;
2026-04-28 16:00:27: Екатерина добавил(-а) тег страт-п-с-26-09;
2026-04-28 16:00:53: Екатерина изменил(-а) дату на 07.09.2026 - 11.09.2026;
2026-04-30 10:32:23: Екатерина назначил(-а) Елена исполнителем</t>
  </si>
  <si>
    <t>1.22. Инициировать приглашения ключевых партнеров/рекламодателей на событие</t>
  </si>
  <si>
    <t>27.04.2026 13:14:14</t>
  </si>
  <si>
    <t>2026-04-27 13:14:15: Екатерина создал(-а) задачу;
2026-04-27 14:38:14: Екатерина изменил(-а) название на 1.22. Инициировать приглашения ключевых партнеров/рекламодателей на событие;
2026-04-27 15:05:21: Екатерина изменил(-а) дату на 11.09.2026;
2026-04-27 15:05:27: Екатерина добавил(-а) тег PRO;
2026-04-27 15:24:25: Екатерина назначил(-а) Екатерина исполнителем;
2026-04-28 16:00:36: Екатерина добавил(-а) тег ШП;
2026-04-28 16:00:39: Екатерина добавил(-а) тег страт-п-с-26-09;
2026-04-28 16:01:05: Екатерина изменил(-а) дату на 07.09.2026;
2026-04-28 16:01:07: Екатерина изменил(-а) дату на 11.09.2026;
2026-04-28 16:01:10: Екатерина изменил(-а) дату на 07.09.2026 - 11.09.2026;
2026-04-28 16:01:13: Екатерина изменил(-а) дату на 11.09.2026 - 11.09.2026;
2026-04-28 16:01:19: Екатерина изменил(-а) дату на 07.09.2026 - 11.09.2026;
2026-04-28 16:01:26: Екатерина изменил(-а) дату на 11.09.2026 - 11.09.2026;
2026-04-28 16:01:30: Екатерина изменил(-а) дату на 07.09.2026 - 11.09.2026;
2026-04-30 10:32:26: Екатерина назначил(-а) Елена исполнителем</t>
  </si>
  <si>
    <t>1.23. Провести контроль план/факта по набору мероприятия</t>
  </si>
  <si>
    <t>27.04.2026 13:14:11</t>
  </si>
  <si>
    <t>2026-04-27 13:14:12: Екатерина создал(-а) задачу;
2026-04-27 14:38:25: Екатерина изменил(-а) название на 1.23. Провести контроль план/факта по набору мероприятия;
2026-04-27 15:06:07: Екатерина изменил(-а) дату на 18.09.2026;
2026-04-27 15:06:10: Екатерина добавил(-а) тег PRO;
2026-04-27 15:24:31: Екатерина назначил(-а) Екатерина исполнителем;
2026-04-28 16:01:52: Екатерина изменил(-а) дату на 14.09.2026 - 18.09.2026;
2026-04-28 16:01:55: Екатерина изменил(-а) дату на 17.09.2026 - 18.09.2026;
2026-04-28 16:01:56: Екатерина изменил(-а) дату на 14.09.2026 - 18.09.2026;
2026-04-28 16:01:59: Екатерина изменил(-а) дату на 17.09.2026 - 18.09.2026;
2026-04-28 16:02:02: Екатерина изменил(-а) дату на 14.09.2026 - 18.09.2026;
2026-04-28 16:02:03: Екатерина изменил(-а) дату на 17.09.2026 - 18.09.2026;
2026-04-28 16:02:07: Екатерина изменил(-а) дату на 14.09.2026 - 18.09.2026;
2026-04-28 16:02:09: Екатерина изменил(-а) дату на 18.09.2026;
2026-04-28 16:02:09: Екатерина изменил(-а) дату на 14.09.2026 - 18.09.2026;
2026-04-28 16:02:11: Екатерина изменил(-а) дату на 17.09.2026 - 18.09.2026;
2026-04-28 16:02:13: Екатерина изменил(-а) дату на 14.09.2026 - 18.09.2026;
2026-04-28 16:02:16: Екатерина изменил(-а) дату на 17.09.2026 - 18.09.2026;
2026-04-28 16:02:21: Екатерина изменил(-а) дату на 17.09.2026 - 17.09.2026;
2026-04-28 16:02:25: Екатерина изменил(-а) дату на 14.09.2026 - 17.09.2026;
2026-04-28 16:02:43: Екатерина добавил(-а) тег ШП;
2026-04-28 16:02:45: Екатерина добавил(-а) тег страт-п-с-26-09;
2026-04-30 10:32:28: Екатерина назначил(-а) Елена исполнителем</t>
  </si>
  <si>
    <t>1.24. Провести прогон и приемка события</t>
  </si>
  <si>
    <t>27.04.2026 13:14:09</t>
  </si>
  <si>
    <t>2026-04-27 13:14:09: Екатерина создал(-а) задачу;
2026-04-27 14:38:37: Екатерина изменил(-а) название на 1.24. Провести прогон и приемка события;
2026-04-27 15:06:17: Екатерина изменил(-а) дату на 18.09.2026;
2026-04-27 15:06:21: Екатерина добавил(-а) тег PRO;
2026-04-27 15:24:33: Екатерина назначил(-а) Екатерина исполнителем;
2026-04-28 16:03:16: Екатерина изменил(-а) дату на 14.09.2026;
2026-04-28 16:03:18: Екатерина изменил(-а) дату на 14.09.2026 - 14.09.2026;
2026-04-28 16:03:21: Екатерина изменил(-а) дату на 14.09.2026 - 17.09.2026;
2026-04-28 16:03:36: Екатерина добавил(-а) тег ШП;
2026-04-28 16:03:41: Екатерина добавил(-а) тег страт-п-с-26-09;
2026-04-30 10:32:31: Екатерина назначил(-а) Елена исполнителем</t>
  </si>
  <si>
    <t>1.25. Провести продактплейсмент будущих событий на мероприятии</t>
  </si>
  <si>
    <t>27.04.2026 13:14:06</t>
  </si>
  <si>
    <t>2026-04-27 13:14:06: Екатерина создал(-а) задачу;
2026-04-27 13:16:00: Екатерина добавил(-а) подзадачу #37 1.02. Провести Первичное совещание и заполнить итоги в карточке проекта в СRM;
2026-04-27 13:16:05: Екатерина убрал(-а) подзадачу #37 1.02. Провести Первичное совещание и заполнить итоги в карточке проекта в СRM;
2026-04-27 14:38:49: Екатерина изменил(-а) название на 1.25. Провести продактплейсмент будущих событий на мероприятии;
2026-04-27 15:06:32: Екатерина изменил(-а) дату на 18.09.2026;
2026-04-27 15:06:38: Екатерина добавил(-а) тег PRO;
2026-04-27 15:24:37: Екатерина назначил(-а) Екатерина исполнителем;
2026-04-28 16:03:51: Екатерина изменил(-а) дату на 14.09.2026;
2026-04-28 16:03:52: Екатерина изменил(-а) дату на 14.09.2026 - 14.09.2026;
2026-04-28 16:03:53: Екатерина изменил(-а) дату на 14.09.2026 - 17.09.2026;
2026-04-28 16:04:03: Екатерина добавил(-а) тег ШП;
2026-04-28 16:04:07: Екатерина добавил(-а) тег страт-п-с-26-09;
2026-04-30 10:32:34: Екатерина назначил(-а) Елена исполнителем</t>
  </si>
  <si>
    <t>1.26. Проверить заготовку пост-релиза и поста, освещающего мероприятие</t>
  </si>
  <si>
    <t>27.04.2026 13:14:04</t>
  </si>
  <si>
    <t>2026-04-27 13:14:04: Екатерина создал(-а) задачу;
2026-04-27 14:39:05: Екатерина изменил(-а) название на 1.26. Проверить заготовку пост-релиза и поста, освещающего мероприятие;
2026-04-27 15:06:45: Екатерина изменил(-а) дату на 18.09.2026;
2026-04-27 15:06:47: Екатерина добавил(-а) тег PRO;
2026-04-27 15:24:42: Екатерина назначил(-а) Екатерина исполнителем;
2026-04-28 16:05:37: Екатерина добавил(-а) тег ШП;
2026-04-28 16:05:39: Екатерина добавил(-а) тег страт-п-с-26-09;
2026-04-28 16:05:44: Екатерина изменил(-а) дату на 14.09.2026 - 18.09.2026;
2026-04-28 16:05:45: Екатерина изменил(-а) дату на 17.09.2026 - 18.09.2026;
2026-04-28 16:05:50: Екатерина изменил(-а) дату на 14.09.2026 - 18.09.2026;
2026-04-28 16:05:55: Екатерина изменил(-а) дату на 14.09.2026 - 17.09.2026;
2026-04-30 10:32:37: Екатерина назначил(-а) Елена исполнителем</t>
  </si>
  <si>
    <t>1.27. Проверить и сохранить в чате события статистику мероприятия, которой КВК делится со всеми - с заказчиками, с площадкой, со СМИ</t>
  </si>
  <si>
    <t>2026-04-27 13:14:04: Екатерина создал(-а) задачу;
2026-04-27 14:39:18: Екатерина изменил(-а) название на 1.27. Проверить и сохранить в чате события статистику мероприятия, которой КВК делится со всеми - с заказчиками, с площадкой, со СМИ;
2026-04-27 15:07:06: Екатерина изменил(-а) дату на 18.09.2026;
2026-04-27 15:07:09: Екатерина добавил(-а) тег PRO;
2026-04-27 15:24:39: Екатерина назначил(-а) Екатерина исполнителем;
2026-04-28 16:04:22: Екатерина добавил(-а) тег ШП;
2026-04-28 16:04:22: Екатерина добавил(-а) тег страт-п-с-26-09;
2026-04-28 16:04:28: Екатерина изменил(-а) дату на 14.09.2026;
2026-04-28 16:04:28: Екатерина изменил(-а) дату на 17.09.2026;
2026-04-28 16:04:31: Екатерина изменил(-а) дату на 14.09.2026;
2026-04-28 16:04:32: Екатерина изменил(-а) дату на 14.09.2026 - 14.09.2026;
2026-04-28 16:04:33: Екатерина изменил(-а) дату на 14.09.2026 - 17.09.2026;
2026-04-28 16:04:38: Екатерина изменил(-а) дату на 17.09.2026 - 17.09.2026;
2026-04-28 16:04:53: Екатерина изменил(-а) дату на 14.09.2026 - 17.09.2026;
2026-04-28 16:04:55: Екатерина изменил(-а) дату на 17.09.2026 - 17.09.2026;
2026-04-28 16:05:00: Екатерина изменил(-а) дату на 14.09.2026 - 17.09.2026;
2026-04-28 16:05:05: Екатерина изменил(-а) дату на 17.09.2026 - 17.09.2026;
2026-04-28 16:05:10: Екатерина изменил(-а) дату на 14.09.2026 - 17.09.2026;
2026-04-30 10:32:40: Екатерина назначил(-а) Елена исполнителем</t>
  </si>
  <si>
    <t>1.28. Провести контроль мероприятия</t>
  </si>
  <si>
    <t>27.04.2026 13:13:36</t>
  </si>
  <si>
    <t>D, ШП, страт-п-с-26-09</t>
  </si>
  <si>
    <t>2026-04-27 13:13:37: Екатерина создал(-а) задачу;
2026-04-27 14:43:45: Екатерина изменил(-а) дату на 25.09.2026;
2026-04-27 14:43:57: Екатерина добавил(-а) тег D;
2026-04-27 14:44:48: Екатерина изменил(-а) дату на 24.09.2026;
2026-04-27 15:24:48: Екатерина назначил(-а) Екатерина исполнителем;
2026-04-28 16:06:14: Екатерина добавил(-а) тег ШП;
2026-04-28 16:06:18: Екатерина добавил(-а) тег страт-п-с-26-09;
2026-04-28 16:06:18: Екатерина добавил(-а) тег Старт вехи Pre;
2026-04-28 16:06:24: Екатерина изменил(-а) дату на 21.09.2026 - 24.09.2026;
2026-04-28 16:06:25: Екатерина изменил(-а) дату на 24.09.2026 - 24.09.2026;
2026-04-28 16:35:01: Екатерина убрал(-а) тег Старт вехи Pre;
2026-04-30 10:32:43: Екатерина назначил(-а) Елена исполнителем</t>
  </si>
  <si>
    <t>1.29.  Поддержать контакт с ключевыми контрагентами: спикерами/заказчиками/площадкой</t>
  </si>
  <si>
    <t>27.04.2026 13:13:01</t>
  </si>
  <si>
    <t>2026-04-27 13:13:01: Екатерина создал(-а) задачу;
2026-04-27 14:45:07: Екатерина изменил(-а) дату на 24.09.2026;
2026-04-27 14:45:14: Екатерина добавил(-а) тег D;
2026-04-27 15:24:53: Екатерина назначил(-а) Екатерина исполнителем;
2026-04-28 19:34:18: Екатерина добавил(-а) тег ШП;
2026-04-28 19:34:21: Екатерина добавил(-а) тег страт-п-с-26-09;
2026-04-30 10:32:50: Екатерина назначил(-а) Елена исполнителем</t>
  </si>
  <si>
    <t>1.30. Провести Итоговое совещание</t>
  </si>
  <si>
    <t>27.04.2026 13:12:31</t>
  </si>
  <si>
    <t>POST, ШП, страт-п-с-26-09</t>
  </si>
  <si>
    <t>2026-04-27 13:12:32: Екатерина создал(-а) задачу;
2026-04-27 14:40:23: Екатерина изменил(-а) дату на 02.10.2026;
2026-04-27 14:40:32: Екатерина добавил(-а) тег POST;
2026-04-27 15:25:02: Екатерина назначил(-а) Екатерина исполнителем;
2026-04-28 19:29:38: Екатерина изменил(-а) дату на 28.09.2026;
2026-04-28 19:29:40: Екатерина изменил(-а) дату на 01.10.2026;
2026-04-28 19:29:49: Екатерина изменил(-а) дату на 28.09.2026 - 01.10.2026;
2026-04-28 19:34:27: Екатерина добавил(-а) тег ШП;
2026-04-28 19:34:30: Екатерина добавил(-а) тег страт-п-с-26-09;
2026-04-30 10:32:55: Екатерина назначил(-а) Елена исполнителем</t>
  </si>
  <si>
    <t>1.31. Согласовать пост-релиз</t>
  </si>
  <si>
    <t>27.04.2026 13:11:24</t>
  </si>
  <si>
    <t>2026-04-27 13:11:24: Екатерина создал(-а) задачу;
2026-04-27 13:12:09: Екатерина изменил(-а) название на 1.31. Согласовать пост-релиз;
2026-04-27 14:40:44: Екатерина изменил(-а) дату на 30.10.2026;
2026-04-27 14:40:49: Екатерина добавил(-а) тег POST;
2026-04-27 14:41:34: Екатерина изменил(-а) дату на 02.10.2026;
2026-04-27 15:25:05: Екатерина назначил(-а) Екатерина исполнителем;
2026-04-28 19:30:13: Екатерина изменил(-а) дату на 28.09.2026;
2026-04-28 19:30:18: Екатерина изменил(-а) дату на 28.09.2026 - 28.09.2026;
2026-04-28 19:30:19: Екатерина изменил(-а) дату на 28.09.2026 - 01.10.2026;
2026-04-28 19:34:35: Екатерина добавил(-а) тег ШП;
2026-04-28 19:34:40: Екатерина добавил(-а) тег страт-п-с-26-09;
2026-04-30 10:33:05: Екатерина назначил(-а) Елена исполнителем</t>
  </si>
  <si>
    <t>1.32. Согласовать отчет для Заказчика</t>
  </si>
  <si>
    <t>27.04.2026 13:11:16</t>
  </si>
  <si>
    <t>2026-04-27 13:11:17: Екатерина создал(-а) задачу;
2026-04-27 13:11:42: Екатерина изменил(-а) название на 1.32. Согласовать отчет для Заказчика;
2026-04-27 13:11:45: Екатерина изменил(-а) название на 1.32.Согласовать отчет для Заказчика;
2026-04-27 13:11:47: Екатерина изменил(-а) название на 1.32. Согласовать отчет для Заказчика;
2026-04-27 14:41:06: Екатерина изменил(-а) дату на 30.10.2026;
2026-04-27 14:41:21: Екатерина изменил(-а) дату на 02.10.2026;
2026-04-27 14:41:39: Екатерина добавил(-а) тег POST;
2026-04-27 15:25:07: Екатерина назначил(-а) Екатерина исполнителем;
2026-04-28 19:30:32: Екатерина изменил(-а) дату на 28.09.2026;
2026-04-28 19:30:34: Екатерина изменил(-а) дату на 01.10.2026;
2026-04-28 19:30:35: Екатерина изменил(-а) дату на 28.09.2026;
2026-04-28 19:30:37: Екатерина изменил(-а) дату на 28.09.2026 - 28.09.2026;
2026-04-28 19:30:40: Екатерина изменил(-а) дату на 28.09.2026 - 01.10.2026;
2026-04-28 19:34:48: Екатерина добавил(-а) тег ШП;
2026-04-28 19:34:54: Екатерина добавил(-а) тег страт-п-с-26-09;
2026-04-30 10:33:14: Екатерина назначил(-а) Елена исполнителем</t>
  </si>
  <si>
    <t>1.33. Получить закрывающие документы по договору заказчика</t>
  </si>
  <si>
    <t>27.04.2026 13:10:54</t>
  </si>
  <si>
    <t>2026-04-27 13:10:55: Екатерина создал(-а) задачу;
2026-04-27 13:11:05: Екатерина изменил(-а) название на 1/Получить закрывающие документы по договору заказчика;
2026-04-27 13:11:06: Екатерина изменил(-а) название на 1.Получить закрывающие документы по договору заказчика;
2026-04-27 13:11:09: Екатерина изменил(-а) название на 1.33.Получить закрывающие документы по договору заказчика;
2026-04-27 13:11:10: Екатерина изменил(-а) название на 1.33. Получить закрывающие документы по договору заказчика;
2026-04-27 14:41:50: Екатерина изменил(-а) дату на 02.10.2026;
2026-04-27 14:41:53: Екатерина добавил(-а) тег POST;
2026-04-27 15:25:10: Екатерина назначил(-а) Екатерина исполнителем;
2026-04-28 19:30:47: Екатерина изменил(-а) дату на 28.09.2026;
2026-04-28 19:30:50: Екатерина изменил(-а) дату на 01.10.2026;
2026-04-28 19:30:52: Екатерина изменил(-а) дату на 28.09.2026;
2026-04-28 19:30:54: Екатерина изменил(-а) дату на 01.10.2026;
2026-04-28 19:30:56: Екатерина изменил(-а) дату на 28.09.2026;
2026-04-28 19:30:59: Екатерина изменил(-а) дату на 28.09.2026 - 28.09.2026;
2026-04-28 19:31:00: Екатерина изменил(-а) дату на 28.09.2026 - 01.10.2026;
2026-04-28 19:35:01: Екатерина добавил(-а) тег ШП;
2026-04-28 19:35:04: Екатерина добавил(-а) тег страт-п-с-26-09;
2026-04-30 10:33:18: Екатерина назначил(-а) Елена исполнителем</t>
  </si>
  <si>
    <t>1.34.Получить оплату</t>
  </si>
  <si>
    <t>27.04.2026 12:46:27</t>
  </si>
  <si>
    <t>2026-04-27 12:46:28: Екатерина создал(-а) задачу;
2026-04-27 14:42:02: Екатерина изменил(-а) дату на 02.10.2026;
2026-04-27 14:42:07: Екатерина добавил(-а) тег POST;
2026-04-27 15:25:11: Екатерина назначил(-а) Екатерина исполнителем;
2026-04-28 19:31:05: Екатерина изменил(-а) дату на 28.09.2026;
2026-04-28 19:31:07: Екатерина изменил(-а) дату на 01.10.2026;
2026-04-28 19:31:11: Екатерина изменил(-а) дату на 28.09.2026 - 01.10.2026;
2026-04-28 19:31:13: Екатерина изменил(-а) дату на 01.10.2026 - 01.10.2026;
2026-04-28 19:31:17: Екатерина изменил(-а) дату на 28.09.2026 - 01.10.2026;
2026-04-28 19:31:23: Екатерина изменил(-а) дату на 01.10.2026 - 01.10.2026;
2026-04-28 19:31:28: Екатерина изменил(-а) дату на 28.09.2026 - 01.10.2026;
2026-04-28 19:31:30: Екатерина изменил(-а) дату на 01.10.2026 - 01.10.2026;
2026-04-28 19:31:34: Екатерина изменил(-а) дату на 28.09.2026 - 01.10.2026;
2026-04-28 19:31:37: Екатерина изменил(-а) дату на 01.10.2026 - 01.10.2026;
2026-04-28 19:31:38: Екатерина изменил(-а) дату на 28.09.2026 - 01.10.2026;
2026-04-28 19:35:09: Екатерина добавил(-а) тег ШП;
2026-04-28 19:35:14: Екатерина добавил(-а) тег страт-п-с-26-09;
2026-04-30 10:33:23: Екатерина назначил(-а) Елена исполнителем</t>
  </si>
  <si>
    <t>1.35. Данные сохранить в карточке события в CRM</t>
  </si>
  <si>
    <t>27.04.2026 12:44:18</t>
  </si>
  <si>
    <t>2026-04-27 12:44:19: Екатерина создал(-а) задачу;
2026-04-27 12:44:29: Екатерина изменил(-а) название на 1.35.Данные сохранить в карточке события в CRM;
2026-04-27 12:44:30: Екатерина изменил(-а) название на 1.35. Данные сохранить в карточке события в CRM;
2026-04-27 14:42:14: Екатерина добавил(-а) тег POST;
2026-04-27 14:42:21: Екатерина изменил(-а) дату на 02.10.2026;
2026-04-27 15:24:47: Екатерина назначил(-а) Екатерина исполнителем;
2026-04-27 15:33:07: Екатерина добавил(-а) тег финиш вехи Post;
2026-04-28 16:34:53: Екатерина убрал(-а) тег финиш вехи Post;
2026-04-28 19:31:48: Екатерина изменил(-а) дату на 28.09.2026;
2026-04-28 19:31:49: Екатерина изменил(-а) дату на 01.10.2026;
2026-04-28 19:31:50: Екатерина изменил(-а) дату на 28.09.2026;
2026-04-28 19:31:53: Екатерина изменил(-а) дату на 28.09.2026 - 01.10.2026;
2026-04-28 19:35:21: Екатерина добавил(-а) тег ШП;
2026-04-28 19:35:24: Екатерина добавил(-а) тег страт-п-с-26-09;
2026-04-30 10:33:24: Екатерина назначил(-а) Елена исполнителем</t>
  </si>
  <si>
    <t>1.03. Произвести приемку Тизера</t>
  </si>
  <si>
    <t>29.05.2026</t>
  </si>
  <si>
    <t>27.04.2026 11:46:01</t>
  </si>
  <si>
    <t>2026-04-27 11:46:02: Екатерина создал(-а) задачу;
2026-04-27 11:46:43: Екатерина изменил(-а) дату на 18.05.2026;
2026-04-27 11:51:01: Екатерина изменил(-а) дату на 29.05.2026;
2026-04-27 11:57:38: Екатерина добавил(-а) тег PRE;
2026-04-27 13:15:45: Екатерина изменил(-а) родительскую задачу на #73 1.04. Провести контрольное совещание по задачам проекта;
2026-04-27 13:15:46: Екатерина убрал(-а) родительскую задачу;
2026-04-27 13:15:51: Екатерина изменил(-а) название на 1.03. Произвести приемку Тизера;
2026-04-27 15:22:36: Екатерина назначил(-а) Екатерина исполнителем;
2026-04-28 13:15:09: Екатерина изменил(-а) дату на 25.05.2026;
2026-04-28 13:15:11: Екатерина изменил(-а) дату на 29.05.2026;
2026-04-28 13:15:14: Екатерина изменил(-а) дату на 25.05.2026 - 29.05.2026;
2026-04-28 13:15:17: Екатерина изменил(-а) дату на 29.05.2026 - 29.05.2026;
2026-04-28 13:15:25: Екатерина изменил(-а) дату на 25.05.2026 - 29.05.2026;
2026-04-28 13:15:28: Екатерина изменил(-а) дату на 29.05.2026 - 29.05.2026;
2026-04-28 13:15:32: Екатерина изменил(-а) дату на 25.05.2026 - 29.05.2026;
2026-04-28 15:51:03: Екатерина добавил(-а) тег страт-п-с-26-09;
2026-04-28 15:51:06: Екатерина добавил(-а) тег ШП;
2026-04-30 10:31:16: Екатерина назначил(-а) Елена исполнителем;
2026-04-30 14:31:43: Екатерина убрал(-а) тег страт-п-с-26-09;
2026-04-30 14:31:46: Екатерина добавил(-а) тег страт-п-с-26-09</t>
  </si>
  <si>
    <t>1.02. Провести Первичное совещание и заполнить итоги в карточке проекта в СRM</t>
  </si>
  <si>
    <t>27.04.2026 11:45:38</t>
  </si>
  <si>
    <t>2026-04-27 11:45:39: Екатерина создал(-а) задачу;
2026-04-27 11:50:39: Екатерина изменил(-а) дату на 22.04.2026;
2026-04-27 11:50:49: Екатерина изменил(-а) дату на 22.05.2026;
2026-04-27 13:16:00: Екатерина изменил(-а) родительскую задачу на #50 1.25. Провести продактплейсмент будущих событий на мероприятии;
2026-04-27 13:16:05: Екатерина убрал(-а) родительскую задачу;
2026-04-27 13:16:15: Екатерина изменил(-а) название на 1.02. Провести Первичное совещание и заполнены итоги в карточке проекта в СRM;
2026-04-27 13:26:26: Екатерина добавил(-а) тег PRE;
2026-04-27 14:52:05: Екатерина изменил(-а) дату на 19.05.2026;
2026-04-27 15:22:28: Екатерина назначил(-а) Екатерина исполнителем;
2026-04-27 15:30:46: Екатерина добавил(-а) тег Старт вехи Pre;
2026-04-28 13:14:52: Екатерина изменил(-а) дату на 18.05.2026;
2026-04-28 13:14:52: Екатерина изменил(-а) дату на 19.05.2026;
2026-04-28 13:14:56: Екатерина изменил(-а) дату на 18.05.2026 - 19.05.2026;
2026-04-28 15:47:00: Екатерина убрал(-а) тег Старт вехи Pre;
2026-04-28 15:47:23: Екатерина изменил(-а) название на 1.02. Провести Первичное совещание и заполнить итоги в карточке проекта в СRM;
2026-04-28 15:50:53: Екатерина добавил(-а) тег страт-п-с-26-09;
2026-04-28 15:50:55: Екатерина добавил(-а) тег ШП;
2026-04-30 10:31:11: Екатерина назначил(-а) Елена исполнителем;
2026-04-30 14:31:35: Екатерина убрал(-а) тег страт-п-с-26-09;
2026-04-30 14:31:38: Екатерина добавил(-а) тег страт-п-с-26-09</t>
  </si>
  <si>
    <t>1.01. Сформировать Рабочую группу и заполнить карточку проекта в CRM</t>
  </si>
  <si>
    <t>27.04.2026 11:45:17</t>
  </si>
  <si>
    <t>2026-04-27 11:45:17: Екатерина создал(-а) задачу;
2026-04-27 11:50:30: Екатерина изменил(-а) дату на 22.05.2026;
2026-04-27 13:16:39: Екатерина изменил(-а) название на 1.01. Сформировать Рабочую группу и заполнить карточку проекта в CRM;
2026-04-27 13:26:34: Екатерина добавил(-а) тег PRE;
2026-04-27 14:51:58: Екатерина изменил(-а) дату на 18.05.2026;
2026-04-27 14:55:54: Екатерина изменил(-а) дату на 19.05.2026;
2026-04-27 14:55:54: Екатерина изменил(-а) дату на 20.05.2026;
2026-04-27 14:55:54: Екатерина изменил(-а) дату на 18.05.2026;
2026-04-27 14:56:25: Екатерина изменил(-а) дату на 19.05.2026;
2026-04-27 14:56:25: Екатерина изменил(-а) дату на 20.05.2026;
2026-04-27 14:56:26: Екатерина изменил(-а) дату на 21.05.2026;
2026-04-27 14:56:34: Екатерина изменил(-а) дату на 18.05.2026;
2026-04-27 14:56:34: Екатерина изменил(-а) дату на 19.05.2026;
2026-04-27 14:56:38: Екатерина изменил(-а) дату на 18.05.2026;
2026-04-27 14:56:43: Екатерина изменил(-а) дату на 22.05.2026;
2026-04-27 14:56:44: Екатерина изменил(-а) дату на 18.05.2026;
2026-04-27 14:56:47: Екатерина изменил(-а) дату на 21.05.2026;
2026-04-27 15:22:23: Екатерина назначил(-а) Екатерина исполнителем;
2026-04-28 12:10:30: Екатерина изменил(-а) дату на 21.05.2026 - 21.05.2026;
2026-04-28 12:10:36: Екатерина изменил(-а) дату на 18.05.2026 - 21.05.2026;
2026-04-28 12:30:01: Екатерина назначил(-а) Нелли исполнителем;
2026-04-28 12:57:57: Екатерина добавил(-а) тег ШП;
2026-04-28 13:14:18: Екатерина изменил(-а) дату на 19.05.2026 - 21.05.2026;
2026-04-28 13:14:20: Екатерина изменил(-а) дату на 18.05.2026 - 21.05.2026;
2026-04-28 13:14:22: Екатерина изменил(-а) дату на 19.05.2026 - 21.05.2026;
2026-04-28 13:14:27: Екатерина изменил(-а) дату на 18.05.2026 - 21.05.2026;
2026-04-28 13:14:30: Екатерина изменил(-а) дату на 18.05.2026 - 19.05.2026;
2026-04-28 15:46:51: Екатерина добавил(-а) тег страт-п-с-26-09;
2026-04-28 19:32:23: Екатерина назначил(-а) себя исполнителем;
2026-04-28 19:32:26: Екатерина отстранил(-а) себя от задачи;
2026-04-28 19:32:28: Екатерина отстранил(-а) Нелли от задачи;
2026-04-30 10:31:03: Екатерина назначил(-а) Елена исполнителем</t>
  </si>
  <si>
    <t>1.2. Проведено Первичное совещание и заполнены итоги в карточке проекта в СRM</t>
  </si>
  <si>
    <t>30.04.2026</t>
  </si>
  <si>
    <t>27.04.2026 10:49:33</t>
  </si>
  <si>
    <t>2026-04-27 10:49:34: Екатерина создал(-а) задачу;
2026-04-27 10:50:01: Екатерина изменил(-а) дату на 05.05.2021</t>
  </si>
  <si>
    <t>1.1. Сформирована Рабочая группа и заполнена карточка проекта в CRM</t>
  </si>
  <si>
    <t>27.04.2026 10:49:16</t>
  </si>
  <si>
    <t>2026-04-27 10:49:16: Екатерина создал(-а) задачу;
2026-04-27 10:49:47: Екатерина изменил(-а) дату на 06.05.2021</t>
  </si>
  <si>
    <t>Названия строк</t>
  </si>
  <si>
    <t>Общий итог</t>
  </si>
  <si>
    <t>Количество по полю Задача</t>
  </si>
  <si>
    <t>Значения</t>
  </si>
  <si>
    <t>№</t>
  </si>
  <si>
    <t>Название проекта</t>
  </si>
  <si>
    <t>D</t>
  </si>
  <si>
    <t>Выполнение на текущий недельный спринт</t>
  </si>
  <si>
    <r>
      <t xml:space="preserve">кол-во выполненных </t>
    </r>
    <r>
      <rPr>
        <b/>
        <sz val="14"/>
        <color rgb="FF000000"/>
        <rFont val="Calibri"/>
        <family val="2"/>
        <charset val="204"/>
      </rPr>
      <t>вех</t>
    </r>
  </si>
  <si>
    <r>
      <t xml:space="preserve">кол-во выполненных </t>
    </r>
    <r>
      <rPr>
        <b/>
        <sz val="14"/>
        <color rgb="FF000000"/>
        <rFont val="Calibri"/>
        <family val="2"/>
        <charset val="204"/>
      </rPr>
      <t>задач</t>
    </r>
  </si>
  <si>
    <t>план</t>
  </si>
  <si>
    <t>факт</t>
  </si>
  <si>
    <t>Здраво</t>
  </si>
  <si>
    <t xml:space="preserve">дата 1 </t>
  </si>
  <si>
    <t>33 (80%)</t>
  </si>
  <si>
    <t>Стратегия</t>
  </si>
  <si>
    <t xml:space="preserve">дата 2 </t>
  </si>
  <si>
    <t>25 (73%)</t>
  </si>
  <si>
    <t>Реклама</t>
  </si>
  <si>
    <t xml:space="preserve">дата 3 </t>
  </si>
  <si>
    <t>15 (50%)</t>
  </si>
  <si>
    <t>Проект N</t>
  </si>
  <si>
    <t>дата N</t>
  </si>
  <si>
    <t>x</t>
  </si>
  <si>
    <t>х</t>
  </si>
  <si>
    <t>Х (Y%)</t>
  </si>
  <si>
    <t>Сумма по полю Выполнена</t>
  </si>
  <si>
    <t>1.1.</t>
  </si>
  <si>
    <t>Руководитель Дивизиона</t>
  </si>
  <si>
    <t>9 (100%)</t>
  </si>
  <si>
    <t>1.2.</t>
  </si>
  <si>
    <t>Продюсер</t>
  </si>
  <si>
    <t>12 (100%)</t>
  </si>
  <si>
    <t>1.3.</t>
  </si>
  <si>
    <t>Координатор</t>
  </si>
  <si>
    <t>1.4.</t>
  </si>
  <si>
    <t>Лидген</t>
  </si>
  <si>
    <t>8 (100%)</t>
  </si>
  <si>
    <t>1.5.</t>
  </si>
  <si>
    <t>Руководитель группы продаж</t>
  </si>
  <si>
    <t>3 (100%)</t>
  </si>
  <si>
    <t>2.1.</t>
  </si>
  <si>
    <t xml:space="preserve">4 (44%) </t>
  </si>
  <si>
    <t>2.2.</t>
  </si>
  <si>
    <t>2.3.</t>
  </si>
  <si>
    <t>2.4.</t>
  </si>
  <si>
    <t>4 (100%)</t>
  </si>
  <si>
    <t>2.5.</t>
  </si>
  <si>
    <t>2 (66%)</t>
  </si>
  <si>
    <t>3.1.</t>
  </si>
  <si>
    <t>6 (66%)</t>
  </si>
  <si>
    <t>3.2.</t>
  </si>
  <si>
    <t>3 (50%)</t>
  </si>
  <si>
    <t>3.3.</t>
  </si>
  <si>
    <t>4 (80%)</t>
  </si>
  <si>
    <t>3.4.</t>
  </si>
  <si>
    <t>1 (14%)</t>
  </si>
  <si>
    <t>3.5.</t>
  </si>
  <si>
    <t>1 (33%)</t>
  </si>
  <si>
    <t>название мероприятия</t>
  </si>
  <si>
    <t>Лично сентябрь 2026</t>
  </si>
  <si>
    <t>Лично семинар</t>
  </si>
  <si>
    <t>координатор, страт-п-с-26-09</t>
  </si>
  <si>
    <t>лидген, страт-п-с-26-09</t>
  </si>
  <si>
    <t>продюсер, страт-п-с-26-09</t>
  </si>
  <si>
    <t>РГП, страт-п-с-26-09</t>
  </si>
  <si>
    <t>ШП, страт-п-с-26-09</t>
  </si>
  <si>
    <t>теги</t>
  </si>
  <si>
    <t>роль</t>
  </si>
  <si>
    <t>роль и мероприятие</t>
  </si>
  <si>
    <t>координатор</t>
  </si>
  <si>
    <t>лидген</t>
  </si>
  <si>
    <t>продюсер</t>
  </si>
  <si>
    <t>ШП</t>
  </si>
  <si>
    <t>РГП</t>
  </si>
  <si>
    <t>Операцоинный директор</t>
  </si>
  <si>
    <t>Отчет по выполнению задач</t>
  </si>
  <si>
    <t>Отчет по выполнению вех</t>
  </si>
  <si>
    <t>1 post</t>
  </si>
  <si>
    <t>страт-п-с-26-09, ШП, Старт вехи Pre</t>
  </si>
  <si>
    <t>страт-п-с-26-09, ШП, старт вехи Pro</t>
  </si>
  <si>
    <t>страт-п-с-26-09, ШП, финиш вехи Post</t>
  </si>
  <si>
    <t xml:space="preserve">красный </t>
  </si>
  <si>
    <t>желтый</t>
  </si>
  <si>
    <t>зеленый</t>
  </si>
  <si>
    <t>цвет светофора</t>
  </si>
  <si>
    <t>просроченность задач</t>
  </si>
  <si>
    <t>красный</t>
  </si>
  <si>
    <t>7 (100%)</t>
  </si>
  <si>
    <t>(больше 80%)</t>
  </si>
  <si>
    <t>(60-80%)</t>
  </si>
  <si>
    <t>меньше 20%</t>
  </si>
  <si>
    <t>20-40%</t>
  </si>
  <si>
    <t>больше 40%</t>
  </si>
  <si>
    <t xml:space="preserve">зеленый  </t>
  </si>
  <si>
    <t>меньше 60%</t>
  </si>
  <si>
    <t>выполнение задач</t>
  </si>
  <si>
    <t>план по выполнению задач к  28 сент  - 4 окт</t>
  </si>
  <si>
    <t>просрочено к 28 сент-4 окт</t>
  </si>
  <si>
    <t>выполнено к 28 сент-4 окт</t>
  </si>
  <si>
    <t>% выполнения</t>
  </si>
  <si>
    <t>% просрочки</t>
  </si>
  <si>
    <t>выполнение</t>
  </si>
  <si>
    <t xml:space="preserve">желтый </t>
  </si>
  <si>
    <t>цвет светофора просрочки задач</t>
  </si>
  <si>
    <t>цвет светофора по выполнению задач</t>
  </si>
  <si>
    <t>недельный номер спринта</t>
  </si>
  <si>
    <t>0 D</t>
  </si>
  <si>
    <t>14 pre</t>
  </si>
  <si>
    <t>8 pro</t>
  </si>
  <si>
    <t xml:space="preserve">13 pre </t>
  </si>
  <si>
    <t>12 pre</t>
  </si>
  <si>
    <t>11 pre</t>
  </si>
  <si>
    <t>10 pre</t>
  </si>
  <si>
    <t>9 pre</t>
  </si>
  <si>
    <t>7 pro</t>
  </si>
  <si>
    <t>6 pro</t>
  </si>
  <si>
    <t>5 pro</t>
  </si>
  <si>
    <t>4 pro</t>
  </si>
  <si>
    <t>3 pro</t>
  </si>
  <si>
    <t>2 pro</t>
  </si>
  <si>
    <t>1 pro</t>
  </si>
  <si>
    <t>18 - 22 мая</t>
  </si>
  <si>
    <t>25-29 мая</t>
  </si>
  <si>
    <t>1-5 июня</t>
  </si>
  <si>
    <t>8-12 июня</t>
  </si>
  <si>
    <t>15-19 июня</t>
  </si>
  <si>
    <t>22-26 июня</t>
  </si>
  <si>
    <t>27 июля - 31 июля</t>
  </si>
  <si>
    <t>3-7 августа</t>
  </si>
  <si>
    <t>10-14 августа</t>
  </si>
  <si>
    <t>17-21 августа</t>
  </si>
  <si>
    <t>24-28 августа</t>
  </si>
  <si>
    <t>31 августа - 4 сентября</t>
  </si>
  <si>
    <t>7-11 сентября</t>
  </si>
  <si>
    <t>14-18 сентября</t>
  </si>
  <si>
    <t>21-25 сентября</t>
  </si>
  <si>
    <t>28 сентября - 2 октября</t>
  </si>
  <si>
    <t>роль  и мероприятие</t>
  </si>
  <si>
    <t>рГП, страт-п-с-26-09</t>
  </si>
  <si>
    <t>отклонение по просрочке</t>
  </si>
  <si>
    <t>1. Выгрузка - столбец Просроченные дни и Прогрессбар заданий - отклонение - сравнить и  посчитать есть ли отклонение и сколько % оно составляет и раскрасить в нужный цвет внутри дашборда</t>
  </si>
  <si>
    <t>не выполнено к 08.05</t>
  </si>
  <si>
    <t>% невыполнения</t>
  </si>
  <si>
    <t>цвет</t>
  </si>
  <si>
    <t>08.05.2026</t>
  </si>
  <si>
    <t>-</t>
  </si>
  <si>
    <t>0 (0%)</t>
  </si>
  <si>
    <t>100,0%</t>
  </si>
  <si>
    <t>Без роли</t>
  </si>
  <si>
    <t>Итого</t>
  </si>
  <si>
    <t>Задачи к 08.05.2026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</si>
</sst>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26"/>
      <color rgb="FF000000"/>
      <name val="Calibri"/>
      <family val="2"/>
      <charset val="204"/>
    </font>
    <font>
      <sz val="26"/>
      <color rgb="FF000000"/>
      <name val="Calibri"/>
      <family val="2"/>
      <charset val="204"/>
    </font>
    <font>
      <i/>
      <sz val="14"/>
      <color rgb="FF000000"/>
      <name val="Calibri"/>
      <family val="2"/>
      <charset val="204"/>
    </font>
    <font>
      <b/>
      <sz val="2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3" xfId="0" applyBorder="1" applyAlignment="1">
      <alignment horizontal="left" inden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/>
    <xf numFmtId="0" fontId="6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12" xfId="0" applyFont="1" applyBorder="1" applyAlignment="1">
      <alignment wrapText="1"/>
    </xf>
    <xf numFmtId="0" fontId="6" fillId="0" borderId="10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5" fillId="4" borderId="1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0" borderId="12" xfId="0" applyFont="1" applyBorder="1"/>
    <xf numFmtId="0" fontId="6" fillId="0" borderId="12" xfId="0" applyFont="1" applyBorder="1" applyAlignment="1">
      <alignment horizontal="center"/>
    </xf>
    <xf numFmtId="14" fontId="3" fillId="0" borderId="12" xfId="0" applyNumberFormat="1" applyFont="1" applyBorder="1" applyAlignment="1">
      <alignment horizontal="center" wrapText="1"/>
    </xf>
    <xf numFmtId="0" fontId="9" fillId="0" borderId="12" xfId="0" applyFont="1" applyBorder="1" applyAlignment="1">
      <alignment wrapText="1"/>
    </xf>
    <xf numFmtId="9" fontId="0" fillId="0" borderId="0" xfId="0" applyNumberFormat="1"/>
    <xf numFmtId="0" fontId="7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Font="1"/>
    <xf numFmtId="0" fontId="2" fillId="0" borderId="24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0" fillId="0" borderId="24" xfId="0" applyBorder="1"/>
    <xf numFmtId="0" fontId="10" fillId="0" borderId="24" xfId="0" applyFont="1" applyBorder="1"/>
    <xf numFmtId="0" fontId="2" fillId="0" borderId="24" xfId="0" applyFont="1" applyBorder="1"/>
    <xf numFmtId="1" fontId="0" fillId="0" borderId="0" xfId="0" applyNumberFormat="1"/>
    <xf numFmtId="1" fontId="0" fillId="0" borderId="24" xfId="0" applyNumberFormat="1" applyBorder="1"/>
    <xf numFmtId="1" fontId="0" fillId="0" borderId="24" xfId="0" applyNumberFormat="1" applyBorder="1" applyAlignment="1"/>
    <xf numFmtId="0" fontId="4" fillId="0" borderId="0" xfId="0" applyFont="1" applyAlignment="1">
      <alignment wrapText="1"/>
    </xf>
    <xf numFmtId="0" fontId="0" fillId="0" borderId="25" xfId="0" applyBorder="1"/>
    <xf numFmtId="1" fontId="0" fillId="0" borderId="25" xfId="0" applyNumberFormat="1" applyBorder="1"/>
    <xf numFmtId="0" fontId="4" fillId="0" borderId="0" xfId="0" applyFont="1" applyBorder="1" applyAlignment="1">
      <alignment wrapText="1"/>
    </xf>
    <xf numFmtId="0" fontId="0" fillId="0" borderId="0" xfId="0" applyBorder="1"/>
    <xf numFmtId="1" fontId="0" fillId="0" borderId="0" xfId="0" applyNumberFormat="1" applyBorder="1"/>
    <xf numFmtId="9" fontId="0" fillId="0" borderId="24" xfId="0" applyNumberFormat="1" applyBorder="1"/>
    <xf numFmtId="10" fontId="0" fillId="0" borderId="24" xfId="0" applyNumberFormat="1" applyBorder="1"/>
    <xf numFmtId="10" fontId="2" fillId="0" borderId="24" xfId="0" applyNumberFormat="1" applyFont="1" applyBorder="1"/>
    <xf numFmtId="0" fontId="2" fillId="0" borderId="24" xfId="0" applyFont="1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3" fillId="0" borderId="10" xfId="0" applyFont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6" fillId="4" borderId="12" xfId="0" applyFont="1" applyFill="1" applyBorder="1" applyAlignment="1">
      <alignment horizontal="center"/>
    </xf>
  </cellXfs>
  <cellStyles count="1">
    <cellStyle name="Обычный" xfId="0" builtinId="0"/>
  </cellStyles>
  <dxfs count="1">
    <dxf>
      <font>
        <condense val="0"/>
        <extend val="0"/>
        <color rgb="FF9C0006"/>
      </font>
    </dxf>
  </dxfs>
  <tableStyles count="0" defaultTableStyle="TableStyleMedium9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неджер_085" refreshedDate="46142.691914467592" createdVersion="3" refreshedVersion="3" minRefreshableVersion="3" recordCount="246" xr:uid="{00000000-000A-0000-FFFF-FFFF04000000}">
  <cacheSource type="worksheet">
    <worksheetSource ref="A1:AD247" sheet="Worksheet"/>
  </cacheSource>
  <cacheFields count="30">
    <cacheField name="ID" numFmtId="0">
      <sharedItems containsSemiMixedTypes="0" containsString="0" containsNumber="1" containsInteger="1" minValue="26" maxValue="903"/>
    </cacheField>
    <cacheField name="Проект" numFmtId="0">
      <sharedItems containsBlank="1"/>
    </cacheField>
    <cacheField name="Доска" numFmtId="0">
      <sharedItems containsBlank="1"/>
    </cacheField>
    <cacheField name="Колонка" numFmtId="0">
      <sharedItems containsBlank="1"/>
    </cacheField>
    <cacheField name="Корневая задача" numFmtId="0">
      <sharedItems containsBlank="1"/>
    </cacheField>
    <cacheField name="Родительская задача" numFmtId="0">
      <sharedItems containsBlank="1"/>
    </cacheField>
    <cacheField name="Автор" numFmtId="0">
      <sharedItems/>
    </cacheField>
    <cacheField name="Задача" numFmtId="0">
      <sharedItems/>
    </cacheField>
    <cacheField name="Дата начала" numFmtId="0">
      <sharedItems containsBlank="1"/>
    </cacheField>
    <cacheField name="Дедлайн" numFmtId="0">
      <sharedItems containsBlank="1" count="25">
        <s v="01.10.2026"/>
        <s v="04.06.2026"/>
        <m/>
        <s v="19.05.2026"/>
        <s v="24.09.2026"/>
        <s v="23.09.2026"/>
        <s v="17.09.2026"/>
        <s v="10.09.2026"/>
        <s v="05.09.2026"/>
        <s v="04.09.2026"/>
        <s v="27.08.2026"/>
        <s v="20.08.2026"/>
        <s v="13.08.2026"/>
        <s v="06.08.2026"/>
        <s v="30.07.2026"/>
        <s v="25.06.2026"/>
        <s v="18.06.2026"/>
        <s v="11.06.2026"/>
        <s v="28.05.2026"/>
        <s v="03.09.2026"/>
        <s v="21.05.2026"/>
        <s v="01.06.2026"/>
        <s v="11.09.2026"/>
        <s v="29.05.2026"/>
        <s v="30.04.2026"/>
      </sharedItems>
    </cacheField>
    <cacheField name="Оценка времени" numFmtId="0">
      <sharedItems containsNonDate="0" containsString="0" containsBlank="1"/>
    </cacheField>
    <cacheField name="Тип" numFmtId="0">
      <sharedItems/>
    </cacheField>
    <cacheField name="Приоритет" numFmtId="0">
      <sharedItems/>
    </cacheField>
    <cacheField name="Выполнена" numFmtId="0">
      <sharedItems/>
    </cacheField>
    <cacheField name="Дата выполнения" numFmtId="0">
      <sharedItems containsNonDate="0" containsString="0" containsBlank="1"/>
    </cacheField>
    <cacheField name="Дата создания" numFmtId="0">
      <sharedItems/>
    </cacheField>
    <cacheField name="Просроченные дни" numFmtId="0">
      <sharedItems containsString="0" containsBlank="1" containsNumber="1" containsInteger="1" minValue="1" maxValue="1821"/>
    </cacheField>
    <cacheField name="Исполнители" numFmtId="0">
      <sharedItems containsBlank="1"/>
    </cacheField>
    <cacheField name="Подписчики" numFmtId="0">
      <sharedItems/>
    </cacheField>
    <cacheField name="Сделка" numFmtId="0">
      <sharedItems containsNonDate="0" containsString="0" containsBlank="1"/>
    </cacheField>
    <cacheField name="Изображение" numFmtId="0">
      <sharedItems containsNonDate="0" containsString="0" containsBlank="1"/>
    </cacheField>
    <cacheField name="Приватная" numFmtId="0">
      <sharedItems/>
    </cacheField>
    <cacheField name="Повторяемая" numFmtId="0">
      <sharedItems/>
    </cacheField>
    <cacheField name="Описание" numFmtId="0">
      <sharedItems containsNonDate="0" containsString="0" containsBlank="1"/>
    </cacheField>
    <cacheField name="Теги" numFmtId="0">
      <sharedItems containsBlank="1" count="24">
        <s v="POST, координатор, страт-п-с-26-09"/>
        <s v="PRE, Лидген, страт-п-с-26-09"/>
        <m/>
        <s v="D, координатор, страт-п-с-26-09"/>
        <s v="PRO, координатор, страт-п-с-26-09"/>
        <s v="PRE, координатор, страт-п-с-26-09"/>
        <s v="POST, Продюсер, страт-п-с-26-09"/>
        <s v="D, Продюсер, страт-п-с-26-09"/>
        <s v="PRO, Продюсер, страт-п-с-26-09"/>
        <s v="PRE, Продюсер, страт-п-с-26-09"/>
        <s v="страт-п-с-26-09, Операционный директор, финиш вехи Post"/>
        <s v="страт-п-с-26-09, Операционный директор, старт вехи Pro"/>
        <s v="страт-п-с-26-09, Операционный директор, Старт вехи Pre"/>
        <s v="PRO, Лидген, страт-п-с-26-09"/>
        <s v="D, Лидген, страт-п-с-26-09"/>
        <s v="POST, Лидген, страт-п-с-26-09"/>
        <s v="PRE, РГП, страт-п-с-26-09"/>
        <s v="PRO, РГП, страт-п-с-26-09"/>
        <s v="POST, РГП, страт-п-с-26-09"/>
        <s v="PRE, Продюсер, старт вехи Pro"/>
        <s v="PRE, ШП, страт-п-с-26-09"/>
        <s v="PRO, ШП, страт-п-с-26-09"/>
        <s v="D, ШП, страт-п-с-26-09"/>
        <s v="POST, ШП, страт-п-с-26-09"/>
      </sharedItems>
    </cacheField>
    <cacheField name="Потраченное время" numFmtId="0">
      <sharedItems containsNonDate="0" containsString="0" containsBlank="1"/>
    </cacheField>
    <cacheField name="История" numFmtId="0">
      <sharedItems longText="1"/>
    </cacheField>
    <cacheField name="название мероприятия" numFmtId="0">
      <sharedItems count="1">
        <s v="Лично сентябрь 2026"/>
      </sharedItems>
    </cacheField>
    <cacheField name="роль 1" numFmtId="0">
      <sharedItems count="9">
        <s v="координатор, страт-п-с-26-09"/>
        <s v="лидген, страт-п-с-26-09"/>
        <e v="#N/A"/>
        <s v="продюсер, страт-п-с-26-09"/>
        <s v="страт-п-с-26-09, Операционный директор, финиш вехи Post"/>
        <s v="страт-п-с-26-09, Операционный директор, старт вехи Pro"/>
        <s v="страт-п-с-26-09, Операционный директор, Старт вехи Pre"/>
        <s v="РГП, страт-п-с-26-09"/>
        <s v="ШП, страт-п-с-26-09"/>
      </sharedItems>
    </cacheField>
    <cacheField name="роль 2" numFmtId="0">
      <sharedItems count="7">
        <s v="координатор"/>
        <s v="лидген"/>
        <e v="#N/A"/>
        <s v="продюсер"/>
        <s v="Операцоинный директор"/>
        <s v="РГП"/>
        <s v="ШП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6">
  <r>
    <n v="903"/>
    <s v="ЛИЧНО сентябрь 24.09.2026"/>
    <s v="Дивизион Конференции"/>
    <s v="К работе"/>
    <m/>
    <m/>
    <s v="Екатерина"/>
    <s v="3.61. Оплатить оборудование и доп.питание"/>
    <s v="28.09.2026 03:00"/>
    <x v="0"/>
    <m/>
    <s v="Действие"/>
    <s v="Низкий"/>
    <s v="N"/>
    <m/>
    <s v="29.04.2026 14:01:16"/>
    <m/>
    <m/>
    <s v="Екатерина"/>
    <m/>
    <m/>
    <s v="N"/>
    <s v="N"/>
    <m/>
    <x v="0"/>
    <m/>
    <s v="2026-04-29 14:01:17: Екатерина создал(-а) задачу;_x000a_2026-04-29 15:01:30: Екатерина изменил(-а) дату на 28.09.2026;_x000a_2026-04-29 15:01:32: Екатерина изменил(-а) дату на 28.09.2026 - 28.09.2026;_x000a_2026-04-29 15:01:33: Екатерина изменил(-а) дату на 28.09.2026 - 01.10.2026;_x000a_2026-04-29 15:01:45: Екатерина добавил(-а) тег POST;_x000a_2026-04-29 15:01:47: Екатерина добавил(-а) тег страт-п-с-26-09;_x000a_2026-04-29 15:01:50: Екатерина добавил(-а) тег Лидген;_x000a_2026-04-29 15:56:05: Екатерина изменил(-а) название на 3.62. Оплатить оборудование и доп.питание;_x000a_2026-04-30 10:43:39: Екатерина изменил(-а) название на 3.61. Оплатить оборудование и доп.питание;_x000a_2026-04-30 14:43:14: Екатерина убрал(-а) тег страт-п-с-26-09;_x000a_2026-04-30 14:43:17: Екатерина убрал(-а) тег Лидген;_x000a_2026-04-30 14:43:23: Екатерина добавил(-а) тег координатор;_x000a_2026-04-30 14:43:24: Екатерина добавил(-а) тег страт-п-с-26-09"/>
    <x v="0"/>
    <x v="0"/>
    <x v="0"/>
  </r>
  <r>
    <n v="459"/>
    <s v="ЛИЧНО сентябрь 24.09.2026"/>
    <s v="Дивизион Конференции"/>
    <s v="К работе"/>
    <m/>
    <m/>
    <s v="Екатерина"/>
    <s v="4.05. Проанализировать полученные от продюсеров результаты глубинного исследования"/>
    <s v="01.06.2026 03:00"/>
    <x v="1"/>
    <m/>
    <s v="Действие"/>
    <s v="Низкий"/>
    <s v="N"/>
    <m/>
    <s v="28.04.2026 18:39:45"/>
    <m/>
    <m/>
    <s v="Екатерина"/>
    <m/>
    <m/>
    <s v="N"/>
    <s v="N"/>
    <m/>
    <x v="1"/>
    <m/>
    <s v="2026-04-28 18:39:45: Екатерина создал(-а) задачу;_x000a_2026-04-29 11:31:52: Екатерина изменил(-а) дату на 02.06.2026;_x000a_2026-04-29 11:31:53: Екатерина изменил(-а) дату на 01.06.2026 - 02.06.2026;_x000a_2026-04-29 11:31:56: Екатерина изменил(-а) дату на 01.06.2026 - 04.06.2026;_x000a_2026-04-29 13:23:39: Екатерина добавил(-а) тег PRE;_x000a_2026-04-29 13:23:42: Екатерина добавил(-а) тег лидген;_x000a_2026-04-29 13:23:43: Екатерина добавил(-а) тег страт-п-с-26-09;_x000a_2026-04-29 13:24:54: Екатерина убрал(-а) тег лидген;_x000a_2026-04-29 13:25:03: Екатерина добавил(-а) тег Лидген;_x000a_2026-04-30 14:42:56: Екатерина убрал(-а) тег страт-п-с-26-09;_x000a_2026-04-30 14:42:59: Екатерина добавил(-а) тег страт-п-с-26-09"/>
    <x v="0"/>
    <x v="1"/>
    <x v="1"/>
  </r>
  <r>
    <n v="456"/>
    <m/>
    <m/>
    <m/>
    <s v="4.06. Получить от продюсеров и проанализировать Концепцию и Программу"/>
    <s v="4.06. Получить от продюсеров и проанализировать Концепцию и Программу"/>
    <s v="Екатерина"/>
    <s v="4.06.1. Получить от продюсеров и проанализировать Концепцию и Программу"/>
    <m/>
    <x v="2"/>
    <m/>
    <s v="Действие"/>
    <s v="Низкий"/>
    <s v="N"/>
    <m/>
    <s v="28.04.2026 18:22:41"/>
    <m/>
    <m/>
    <s v="Екатерина"/>
    <m/>
    <m/>
    <s v="N"/>
    <s v="N"/>
    <m/>
    <x v="2"/>
    <m/>
    <s v="2026-04-28 18:22:41: Екатерина создал(-а) задачу"/>
    <x v="0"/>
    <x v="2"/>
    <x v="2"/>
  </r>
  <r>
    <n v="454"/>
    <m/>
    <m/>
    <m/>
    <s v="4.03. Подготовить семантическое ядро"/>
    <s v="4.03. Подготовить семантическое ядро"/>
    <s v="Екатерина"/>
    <s v="4.03.1. Для проведение маркетингового анализа и  разработки семантического ядра изучить полученные от продюсеров результаты кабинетного исследования"/>
    <m/>
    <x v="2"/>
    <m/>
    <s v="Действие"/>
    <s v="Низкий"/>
    <s v="N"/>
    <m/>
    <s v="28.04.2026 18:18:38"/>
    <m/>
    <m/>
    <s v="Екатерина"/>
    <m/>
    <m/>
    <s v="N"/>
    <s v="N"/>
    <m/>
    <x v="2"/>
    <m/>
    <s v="2026-04-28 18:18:38: Екатерина создал(-а) задачу;_x000a_2026-04-28 19:08:26: Екатерина изменил(-а) название на 4/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28: Екатерина изменил(-а) название на 4.03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29: Екатерина изменил(-а) название на 4.03.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30: Екатерина изменил(-а) название на 4.03.1.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9:08:33: Екатерина изменил(-а) название на 4.03.1. Для проведение маркетингового анализа и разработки семантического ядра изучить полученные от продюсеров результаты кабинетного исследования"/>
    <x v="0"/>
    <x v="2"/>
    <x v="2"/>
  </r>
  <r>
    <n v="453"/>
    <m/>
    <m/>
    <m/>
    <s v="4.01. Подготовиться к Первичному совещанию"/>
    <s v="4.01. Подготовиться к Первичному совещанию"/>
    <s v="Екатерина"/>
    <s v="4.01.3. Подготовить базу на основе анализа емкости рынка"/>
    <m/>
    <x v="2"/>
    <m/>
    <s v="Действие"/>
    <s v="Низкий"/>
    <s v="N"/>
    <m/>
    <s v="28.04.2026 18:12:33"/>
    <m/>
    <m/>
    <s v="Екатерина"/>
    <m/>
    <m/>
    <s v="N"/>
    <s v="N"/>
    <m/>
    <x v="2"/>
    <m/>
    <s v="2026-04-28 18:12:33: Екатерина создал(-а) задачу"/>
    <x v="0"/>
    <x v="2"/>
    <x v="2"/>
  </r>
  <r>
    <n v="452"/>
    <m/>
    <m/>
    <m/>
    <s v="4.01. Подготовиться к Первичному совещанию"/>
    <s v="4.01. Подготовиться к Первичному совещанию"/>
    <s v="Екатерина"/>
    <s v="4.01.2. Посчитать емкость рынка"/>
    <m/>
    <x v="2"/>
    <m/>
    <s v="Действие"/>
    <s v="Низкий"/>
    <s v="N"/>
    <m/>
    <s v="28.04.2026 18:12:14"/>
    <m/>
    <m/>
    <s v="Екатерина"/>
    <m/>
    <m/>
    <s v="N"/>
    <s v="N"/>
    <m/>
    <x v="2"/>
    <m/>
    <s v="2026-04-28 18:12:15: Екатерина создал(-а) задачу"/>
    <x v="0"/>
    <x v="2"/>
    <x v="2"/>
  </r>
  <r>
    <n v="451"/>
    <m/>
    <m/>
    <m/>
    <s v="4.01. Подготовиться к Первичному совещанию"/>
    <s v="4.01. Подготовиться к Первичному совещанию"/>
    <s v="Екатерина"/>
    <s v="4.01.1. Презентовать анализ  рекламной кампании прошлого мероприятия с декомпозицией каналов"/>
    <m/>
    <x v="2"/>
    <m/>
    <s v="Действие"/>
    <s v="Низкий"/>
    <s v="N"/>
    <m/>
    <s v="28.04.2026 18:10:33"/>
    <m/>
    <m/>
    <s v="Екатерина"/>
    <m/>
    <m/>
    <s v="N"/>
    <s v="N"/>
    <m/>
    <x v="2"/>
    <m/>
    <s v="2026-04-28 18:10:34: Екатерина создал(-а) задачу;_x000a_2026-04-28 18:11:05: Екатерина изменил(-а) название на 4.01.1. Презентовать анализ рекламной кампании прошлого мероприятия с декомпозицией каналов;_x000a_2026-04-29 13:22:52: Екатерина добавил(-а) тег PRE;_x000a_2026-04-29 13:22:56: Екатерина добавил(-а) тег лидген;_x000a_2026-04-29 13:22:58: Екатерина добавил(-а) тег страт-п-с-26-09;_x000a_2026-04-29 13:23:10: Екатерина убрал(-а) тег PRE;_x000a_2026-04-29 13:23:11: Екатерина убрал(-а) тег лидген;_x000a_2026-04-29 13:23:13: Екатерина убрал(-а) тег страт-п-с-26-09"/>
    <x v="0"/>
    <x v="2"/>
    <x v="2"/>
  </r>
  <r>
    <n v="428"/>
    <s v="ЛИЧНО сентябрь 24.09.2026"/>
    <s v="Дивизион Конференции"/>
    <s v="К работе"/>
    <m/>
    <m/>
    <s v="Екатерина"/>
    <s v="4.01. Подготовиться к Первичному совещанию"/>
    <s v="18.05.2026 03:00"/>
    <x v="3"/>
    <m/>
    <s v="Действие"/>
    <s v="Низкий"/>
    <s v="N"/>
    <m/>
    <s v="28.04.2026 17:29:49"/>
    <m/>
    <m/>
    <s v="Екатерина"/>
    <m/>
    <m/>
    <s v="N"/>
    <s v="N"/>
    <m/>
    <x v="1"/>
    <m/>
    <s v="2026-04-28 17:29:49: Екатерина скопировал(-а) задачу #212 4.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;_x000a_2026-04-28 17:35:18: Екатерина изменил(-а) название на 4.01. Для подготовки к Первичному совещанию Лидгеном презентовать анализ рекламной кампании прошлого мероприятия с декомпозицией каналов и посчитать емкость рынка - на основе нее подготовить базу, а по ней составить план по лидам - Копия;_x000a_2026-04-28 18:10:34: Екатерина добавил(-а) подзадачу #451 4.01.1. Презентовать анализ рекламной кампании прошлого мероприятия с декомпозицией каналов;_x000a_2026-04-28 18:12:15: Екатерина добавил(-а) подзадачу #452 4.01.2. Посчитать емкость рынка;_x000a_2026-04-28 18:12:34: Екатерина добавил(-а) подзадачу #453 4.01.3. Подготовить базу на основе анализа емкости рынка;_x000a_2026-04-28 18:13:11: Екатерина изменил(-а) название на 4.01. Подготовиться к;_x000a_2026-04-28 18:13:16: Екатерина изменил(-а) название на 4.01. Подготовиться к Первичному совещанию;_x000a_2026-04-29 10:00:22: Екатерина добавил(-а) тег лидген;_x000a_2026-04-29 11:30:19: Екатерина изменил(-а) дату на 10.05.2026 - 06.07.2026;_x000a_2026-04-29 11:30:20: Екатерина изменил(-а) дату на 10.05.2026 - 11.05.2026;_x000a_2026-04-29 11:30:30: Екатерина изменил(-а) дату на 10.05.2026 - 19.05.2026;_x000a_2026-04-29 11:30:34: Екатерина изменил(-а) дату на 18.05.2026 - 19.05.2026;_x000a_2026-04-29 13:22:48: Екатерина добавил(-а) тег PRE;_x000a_2026-04-29 13:23:02: Екатерина добавил(-а) тег страт-п-с-26-09;_x000a_2026-04-30 14:37:49: Екатерина убрал(-а) тег лидген;_x000a_2026-04-30 14:37:51: Екатерина убрал(-а) тег страт-п-с-26-09;_x000a_2026-04-30 14:37:58: Екатерина добавил(-а) тег лидген;_x000a_2026-04-30 14:38:02: Екатерина добавил(-а) тег страт-п-с-26-09;_x000a_2026-04-30 14:43:35: Екатерина убрал(-а) тег лидген;_x000a_2026-04-30 14:43:37: Екатерина убрал(-а) тег страт-п-с-26-09;_x000a_2026-04-30 14:43:41: Екатерина добавил(-а) тег Лидген;_x000a_2026-04-30 14:43:43: Екатерина добавил(-а) тег страт-п-с-26-09"/>
    <x v="0"/>
    <x v="1"/>
    <x v="1"/>
  </r>
  <r>
    <n v="427"/>
    <s v="ЛИЧНО сентябрь 24.09.2026"/>
    <s v="Дивизион Конференции"/>
    <s v="К работе"/>
    <m/>
    <m/>
    <s v="Екатерина"/>
    <s v="3.60. Проведено итоговое совещание по проекту"/>
    <s v="28.09.2026 03:00"/>
    <x v="0"/>
    <m/>
    <s v="Действие"/>
    <s v="Низкий"/>
    <s v="N"/>
    <m/>
    <s v="28.04.2026 17:00:20"/>
    <m/>
    <m/>
    <s v="Екатерина"/>
    <m/>
    <m/>
    <s v="N"/>
    <s v="N"/>
    <m/>
    <x v="0"/>
    <m/>
    <s v="2026-04-28 17:00:20: Екатерина создал(-а) задачу;_x000a_2026-04-29 11:28:33: Екатерина изменил(-а) дату на 29.09.2026;_x000a_2026-04-29 11:28:34: Екатерина изменил(-а) дату на 28.09.2026 - 29.09.2026;_x000a_2026-04-29 11:28:37: Екатерина изменил(-а) дату на 28.09.2026 - 01.10.2026;_x000a_2026-04-29 13:22:18: Екатерина добавил(-а) тег POST;_x000a_2026-04-29 13:22:40: Екатерина добавил(-а) тег координатор;_x000a_2026-04-29 13:22:41: Екатерина добавил(-а) тег страт-п-с-26-09;_x000a_2026-04-29 15:56:02: Екатерина изменил(-а) название на 3.61. Проведено итоговое совещание по проекту;_x000a_2026-04-30 10:43:36: Екатерина изменил(-а) название на 3.60. Проведено итоговое совещание по проекту"/>
    <x v="0"/>
    <x v="0"/>
    <x v="0"/>
  </r>
  <r>
    <n v="426"/>
    <s v="ЛИЧНО сентябрь 24.09.2026"/>
    <s v="Дивизион Конференции"/>
    <s v="К работе"/>
    <m/>
    <m/>
    <s v="Екатерина"/>
    <s v="3.59. Отправлены благодарности, презентации, фотографии участникам"/>
    <s v="28.09.2026 03:00"/>
    <x v="0"/>
    <m/>
    <s v="Действие"/>
    <s v="Низкий"/>
    <s v="N"/>
    <m/>
    <s v="28.04.2026 16:59:49"/>
    <m/>
    <m/>
    <s v="Екатерина"/>
    <m/>
    <m/>
    <s v="N"/>
    <s v="N"/>
    <m/>
    <x v="0"/>
    <m/>
    <s v="2026-04-28 16:59:49: Екатерина создал(-а) задачу;_x000a_2026-04-29 11:28:49: Екатерина изменил(-а) дату на 29.09.2026;_x000a_2026-04-29 11:28:50: Екатерина изменил(-а) дату на 27.09.2026 - 29.09.2026;_x000a_2026-04-29 11:28:52: Екатерина изменил(-а) дату на 27.09.2026 - 02.10.2026;_x000a_2026-04-29 11:28:53: Екатерина изменил(-а) дату на 28.09.2026 - 02.10.2026;_x000a_2026-04-29 11:28:55: Екатерина изменил(-а) дату на 28.09.2026 - 01.10.2026;_x000a_2026-04-29 13:22:14: Екатерина добавил(-а) тег POST;_x000a_2026-04-29 13:22:28: Екатерина добавил(-а) тег координатор;_x000a_2026-04-29 13:22:29: Екатерина добавил(-а) тег страт-п-с-26-09;_x000a_2026-04-29 15:55:58: Екатерина изменил(-а) название на 3.60. Отправлены благодарности, презентации, фотографии участникам;_x000a_2026-04-30 10:43:31: Екатерина изменил(-а) название на 3.59. Отправлены благодарности, презентации, фотографии участникам"/>
    <x v="0"/>
    <x v="0"/>
    <x v="0"/>
  </r>
  <r>
    <n v="425"/>
    <s v="ЛИЧНО сентябрь 24.09.2026"/>
    <s v="Дивизион Конференции"/>
    <s v="К работе"/>
    <m/>
    <m/>
    <s v="Екатерина"/>
    <s v="3.58. Подготовлен отчет + и - мероприятия"/>
    <s v="28.09.2026 03:00"/>
    <x v="0"/>
    <m/>
    <s v="Действие"/>
    <s v="Низкий"/>
    <s v="N"/>
    <m/>
    <s v="28.04.2026 16:59:37"/>
    <m/>
    <m/>
    <s v="Екатерина"/>
    <m/>
    <m/>
    <s v="N"/>
    <s v="N"/>
    <m/>
    <x v="0"/>
    <m/>
    <s v="2026-04-28 16:59:37: Екатерина создал(-а) задачу;_x000a_2026-04-28 17:00:05: Екатерина изменил(-а) название на 3.62. Подготовлен отчет + и +- мероприятия;_x000a_2026-04-28 17:00:07: Екатерина изменил(-а) название на 3.62. Подготовлен отчет + и - мероприятия;_x000a_2026-04-29 11:28:39: Екатерина изменил(-а) дату на 29.09.2026;_x000a_2026-04-29 11:28:41: Екатерина изменил(-а) дату на 27.09.2026 - 29.09.2026;_x000a_2026-04-29 11:28:43: Екатерина изменил(-а) дату на 27.09.2026 - 02.10.2026;_x000a_2026-04-29 11:28:46: Екатерина изменил(-а) дату на 28.09.2026 - 02.10.2026;_x000a_2026-04-29 11:28:49: Екатерина изменил(-а) дату на 28.09.2026 - 01.10.2026;_x000a_2026-04-29 13:22:10: Екатерина добавил(-а) тег POST;_x000a_2026-04-29 13:22:22: Екатерина добавил(-а) тег координатор;_x000a_2026-04-29 13:22:23: Екатерина добавил(-а) тег страт-п-с-26-09;_x000a_2026-04-29 15:55:51: Екатерина изменил(-а) название на 3.59. Подготовлен отчет + и - мероприятия;_x000a_2026-04-30 10:43:26: Екатерина изменил(-а) название на 3.58. Подготовлен отчет + и - мероприятия"/>
    <x v="0"/>
    <x v="0"/>
    <x v="0"/>
  </r>
  <r>
    <n v="424"/>
    <s v="ЛИЧНО сентябрь 24.09.2026"/>
    <s v="Дивизион Конференции"/>
    <s v="К работе"/>
    <m/>
    <m/>
    <s v="Екатерина"/>
    <s v="3.57. Подготовлен отчет по подотчетным"/>
    <s v="28.09.2026 03:00"/>
    <x v="0"/>
    <m/>
    <s v="Действие"/>
    <s v="Низкий"/>
    <s v="N"/>
    <m/>
    <s v="28.04.2026 16:59:26"/>
    <m/>
    <m/>
    <s v="Екатерина"/>
    <m/>
    <m/>
    <s v="N"/>
    <s v="N"/>
    <m/>
    <x v="0"/>
    <m/>
    <s v="2026-04-28 16:59:26: Екатерина создал(-а) задачу;_x000a_2026-04-29 11:11:02: Екатерина добавил(-а) тег POST;_x000a_2026-04-29 11:28:15: Екатерина изменил(-а) дату на 26.09.2026;_x000a_2026-04-29 11:28:18: Екатерина изменил(-а) дату на 26.09.2026 - 29.09.2026;_x000a_2026-04-29 11:28:22: Екатерина изменил(-а) дату на 28.09.2026 - 29.09.2026;_x000a_2026-04-29 11:28:26: Екатерина изменил(-а) дату на 28.09.2026 - 01.10.2026;_x000a_2026-04-29 13:22:04: Екатерина добавил(-а) тег координатор;_x000a_2026-04-29 13:22:06: Екатерина добавил(-а) тег страт-п-с-26-09;_x000a_2026-04-29 15:55:46: Екатерина изменил(-а) название на 3.58. Подготовлен отчет по подотчетным;_x000a_2026-04-30 10:43:22: Екатерина изменил(-а) название на 3.57. Подготовлен отчет по подотчетным"/>
    <x v="0"/>
    <x v="0"/>
    <x v="0"/>
  </r>
  <r>
    <n v="423"/>
    <s v="ЛИЧНО сентябрь 24.09.2026"/>
    <s v="Дивизион Конференции"/>
    <s v="К работе"/>
    <m/>
    <m/>
    <s v="Екатерина"/>
    <s v="3.56. Сверка на предмет участие, все ли оплатившие пришли, чтобы исключить претензии"/>
    <m/>
    <x v="4"/>
    <m/>
    <s v="Действие"/>
    <s v="Низкий"/>
    <s v="N"/>
    <m/>
    <s v="28.04.2026 16:59:17"/>
    <m/>
    <m/>
    <s v="Екатерина"/>
    <m/>
    <m/>
    <s v="N"/>
    <s v="N"/>
    <m/>
    <x v="3"/>
    <m/>
    <s v="2026-04-28 16:59:17: Екатерина создал(-а) задачу;_x000a_2026-04-29 11:28:08: Екатерина изменил(-а) дату на 24.09.2026;_x000a_2026-04-29 11:28:09: Екатерина изменил(-а) дату на 24.09.2026 - 25.09.2026;_x000a_2026-04-29 11:28:13: Екатерина изменил(-а) дату на 24.09.2026;_x000a_2026-04-29 13:21:34: Екатерина добавил(-а) тег D;_x000a_2026-04-29 13:21:58: Екатерина добавил(-а) тег координатор;_x000a_2026-04-29 13:21:59: Екатерина добавил(-а) тег страт-п-с-26-09;_x000a_2026-04-29 15:55:10: Екатерина изменил(-а) название на 3.57. Сверка на предмет участие, все ли оплатившие пришли, чтобы исключить претензии;_x000a_2026-04-30 10:43:17: Екатерина изменил(-а) название на 3.55. Сверка на предмет участие, все ли оплатившие пришли, чтобы исключить претензии;_x000a_2026-04-30 10:43:17: Екатерина изменил(-а) название на 3.5. Сверка на предмет участие, все ли оплатившие пришли, чтобы исключить претензии;_x000a_2026-04-30 10:43:18: Екатерина изменил(-а) название на 3.56. Сверка на предмет участие, все ли оплатившие пришли, чтобы исключить претензии"/>
    <x v="0"/>
    <x v="0"/>
    <x v="0"/>
  </r>
  <r>
    <n v="422"/>
    <s v="ЛИЧНО сентябрь 24.09.2026"/>
    <s v="Дивизион Конференции"/>
    <s v="К работе"/>
    <m/>
    <m/>
    <s v="Екатерина"/>
    <s v="3.55. День мероприятия: _x000a_Меропритиятие проведено"/>
    <m/>
    <x v="4"/>
    <m/>
    <s v="Действие"/>
    <s v="Низкий"/>
    <s v="N"/>
    <m/>
    <s v="28.04.2026 16:59:03"/>
    <m/>
    <m/>
    <s v="Екатерина"/>
    <m/>
    <m/>
    <s v="N"/>
    <s v="N"/>
    <m/>
    <x v="3"/>
    <m/>
    <s v="2026-04-28 16:59:03: Екатерина создал(-а) задачу;_x000a_2026-04-29 11:27:51: Екатерина изменил(-а) дату на 25.09.2026;_x000a_2026-04-29 11:27:54: Екатерина изменил(-а) дату на 24.09.2026 - 25.09.2026;_x000a_2026-04-29 11:27:56: Екатерина изменил(-а) дату на 24.09.2026;_x000a_2026-04-29 13:21:32: Екатерина добавил(-а) тег D;_x000a_2026-04-29 13:21:52: Екатерина добавил(-а) тег координатор;_x000a_2026-04-29 13:21:54: Екатерина добавил(-а) тег страт-п-с-26-09;_x000a_2026-04-29 15:53:22: Екатерина изменил(-а) название на 3.56. День мероприятия: _x000a_Меропритиятие проведено;_x000a_2026-04-30 10:43:10: Екатерина изменил(-а) название на 3.55. День мероприятия: _x000a_Меропритиятие проведено"/>
    <x v="0"/>
    <x v="0"/>
    <x v="0"/>
  </r>
  <r>
    <n v="421"/>
    <s v="ЛИЧНО сентябрь 24.09.2026"/>
    <s v="Дивизион Конференции"/>
    <s v="К работе"/>
    <m/>
    <m/>
    <s v="Екатерина"/>
    <s v="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"/>
    <m/>
    <x v="5"/>
    <m/>
    <s v="Действие"/>
    <s v="Низкий"/>
    <s v="N"/>
    <m/>
    <s v="28.04.2026 16:58:51"/>
    <m/>
    <m/>
    <s v="Екатерина"/>
    <m/>
    <m/>
    <s v="N"/>
    <s v="N"/>
    <m/>
    <x v="3"/>
    <m/>
    <s v="2026-04-28 16:58:51: Екатерина создал(-а) задачу;_x000a_2026-04-29 11:10:53: Екатерина добавил(-а) тег D;_x000a_2026-04-29 11:27:41: Екатерина изменил(-а) дату на 20.09.2026;_x000a_2026-04-29 11:27:44: Екатерина изменил(-а) дату на 20.09.2026 - 23.09.2026;_x000a_2026-04-29 11:27:49: Екатерина изменил(-а) дату на 23.09.2026;_x000a_2026-04-29 13:21:44: Екатерина добавил(-а) тег координатор;_x000a_2026-04-29 13:21:46: Екатерина добавил(-а) тег страт-п-с-26-09;_x000a_2026-04-29 15:53:17: Екатерина изменил(-а) название на 3.55. День монтажа: площадка подготовлена: заезд, накрытие зала, накрытие регистрации, заезд и контроль подрядчиков: питание, оборудование, полиграфия и т.д.;_x000a_2026-04-30 10:43:06: Екатерина изменил(-а) название на 3.54. День монтажа: площадка подготовлена: заезд, накрытие зала, накрытие регистрации, заезд и контроль подрядчиков: питание, оборудование, полиграфия и т.д."/>
    <x v="0"/>
    <x v="0"/>
    <x v="0"/>
  </r>
  <r>
    <n v="420"/>
    <s v="ЛИЧНО сентябрь 24.09.2026"/>
    <s v="Дивизион Конференции"/>
    <s v="К работе"/>
    <m/>
    <m/>
    <s v="Екатерина"/>
    <s v="3.53.  Произведена проверка битрикса-списка участников с бухреестром"/>
    <s v="14.09.2026 03:00"/>
    <x v="6"/>
    <m/>
    <s v="Действие"/>
    <s v="Низкий"/>
    <s v="N"/>
    <m/>
    <s v="28.04.2026 16:58:37"/>
    <m/>
    <m/>
    <s v="Екатерина"/>
    <m/>
    <m/>
    <s v="N"/>
    <s v="N"/>
    <m/>
    <x v="4"/>
    <m/>
    <s v="2026-04-28 16:58:37: Екатерина создал(-а) задачу;_x000a_2026-04-29 11:26:30: Екатерина изменил(-а) дату на 14.09.2026;_x000a_2026-04-29 11:26:31: Екатерина изменил(-а) дату на 13.09.2026 - 14.09.2026;_x000a_2026-04-29 11:26:36: Екатерина изменил(-а) дату на 13.09.2026 - 16.09.2026;_x000a_2026-04-29 11:26:39: Екатерина изменил(-а) дату на 14.09.2026 - 16.09.2026;_x000a_2026-04-29 11:26:41: Екатерина изменил(-а) дату на 14.09.2026 - 17.09.2026;_x000a_2026-04-29 13:21:21: Екатерина добавил(-а) тег PRO;_x000a_2026-04-29 13:21:23: Екатерина добавил(-а) тег координатор;_x000a_2026-04-29 13:21:25: Екатерина добавил(-а) тег страт-п-с-26-09;_x000a_2026-04-29 15:53:09: Екатерина изменил(-а) название на 3.54. Произведена проверка битрикса-списка участников с бухреестром;_x000a_2026-04-30 10:43:00: Екатерина изменил(-а) название на 3.53. Произведена проверка битрикса-списка участников с бухреестром"/>
    <x v="0"/>
    <x v="0"/>
    <x v="0"/>
  </r>
  <r>
    <n v="419"/>
    <s v="ЛИЧНО сентябрь 24.09.2026"/>
    <s v="Дивизион Конференции"/>
    <s v="К работе"/>
    <m/>
    <m/>
    <s v="Екатерина"/>
    <s v="3.52. Куплены подарки спикерам при необходимости"/>
    <s v="14.09.2026 03:00"/>
    <x v="6"/>
    <m/>
    <s v="Действие"/>
    <s v="Низкий"/>
    <s v="N"/>
    <m/>
    <s v="28.04.2026 16:58:26"/>
    <m/>
    <m/>
    <s v="Екатерина"/>
    <m/>
    <m/>
    <s v="N"/>
    <s v="N"/>
    <m/>
    <x v="4"/>
    <m/>
    <s v="2026-04-28 16:58:27: Екатерина создал(-а) задачу;_x000a_2026-04-29 11:27:27: Екатерина изменил(-а) дату на 15.09.2026;_x000a_2026-04-29 11:27:29: Екатерина изменил(-а) дату на 14.09.2026 - 15.09.2026;_x000a_2026-04-29 11:27:32: Екатерина изменил(-а) дату на 14.09.2026 - 17.09.2026;_x000a_2026-04-29 13:21:14: Екатерина добавил(-а) тег PRO;_x000a_2026-04-29 13:21:17: Екатерина добавил(-а) тег координатор;_x000a_2026-04-29 13:21:18: Екатерина добавил(-а) тег страт-п-с-26-09;_x000a_2026-04-29 15:16:38: Екатерина изменил(-а) название на 3.53. Куплены подарки спикерам при необходимости;_x000a_2026-04-30 10:42:56: Екатерина изменил(-а) название на 3.52. Куплены подарки спикерам при необходимости"/>
    <x v="0"/>
    <x v="0"/>
    <x v="0"/>
  </r>
  <r>
    <n v="418"/>
    <s v="ЛИЧНО сентябрь 24.09.2026"/>
    <s v="Дивизион Конференции"/>
    <s v="К работе"/>
    <m/>
    <m/>
    <s v="Екатерина"/>
    <s v="3.51. Получены деньги подотчет для мероприятия"/>
    <s v="14.09.2026 03:00"/>
    <x v="6"/>
    <m/>
    <s v="Действие"/>
    <s v="Низкий"/>
    <s v="N"/>
    <m/>
    <s v="28.04.2026 16:58:14"/>
    <m/>
    <m/>
    <s v="Екатерина"/>
    <m/>
    <m/>
    <s v="N"/>
    <s v="N"/>
    <m/>
    <x v="4"/>
    <m/>
    <s v="2026-04-28 16:58:14: Екатерина создал(-а) задачу;_x000a_2026-04-29 11:27:23: Екатерина изменил(-а) дату на 15.09.2026;_x000a_2026-04-29 11:27:25: Екатерина изменил(-а) дату на 14.09.2026 - 15.09.2026;_x000a_2026-04-29 11:27:26: Екатерина изменил(-а) дату на 14.09.2026 - 17.09.2026;_x000a_2026-04-29 13:21:06: Екатерина добавил(-а) тег PRO;_x000a_2026-04-29 13:21:09: Екатерина добавил(-а) тег координатор;_x000a_2026-04-29 13:21:10: Екатерина добавил(-а) тег страт-п-с-26-09;_x000a_2026-04-29 15:16:35: Екатерина изменил(-а) название на 3.52. Получены деньги подотчет для мероприятия;_x000a_2026-04-30 10:42:52: Екатерина изменил(-а) название на 3.51. Получены деньги подотчет для мероприятия"/>
    <x v="0"/>
    <x v="0"/>
    <x v="0"/>
  </r>
  <r>
    <n v="417"/>
    <s v="ЛИЧНО сентябрь 24.09.2026"/>
    <s v="Дивизион Конференции"/>
    <s v="К работе"/>
    <m/>
    <m/>
    <s v="Екатерина"/>
    <s v="3.50. На площадку сдана вся информация: рассадка, расстановка, списки, машины, картинки, тайминг и т.д."/>
    <s v="14.09.2026 03:00"/>
    <x v="6"/>
    <m/>
    <s v="Действие"/>
    <s v="Низкий"/>
    <s v="N"/>
    <m/>
    <s v="28.04.2026 16:58:02"/>
    <m/>
    <m/>
    <s v="Екатерина"/>
    <m/>
    <m/>
    <s v="N"/>
    <s v="N"/>
    <m/>
    <x v="4"/>
    <m/>
    <s v="2026-04-28 16:58:02: Екатерина создал(-а) задачу;_x000a_2026-04-29 11:27:20: Екатерина изменил(-а) дату на 15.09.2026;_x000a_2026-04-29 11:27:21: Екатерина изменил(-а) дату на 14.09.2026 - 15.09.2026;_x000a_2026-04-29 11:27:22: Екатерина изменил(-а) дату на 14.09.2026 - 17.09.2026;_x000a_2026-04-29 13:20:59: Екатерина добавил(-а) тег PRO;_x000a_2026-04-29 13:21:03: Екатерина добавил(-а) тег координатор;_x000a_2026-04-29 13:21:03: Екатерина добавил(-а) тег страт-п-с-26-09;_x000a_2026-04-29 15:16:32: Екатерина изменил(-а) название на 3.51. На площадку сдана вся информация: рассадка, расстановка, списки, машины, картинки, тайминг и т.д.;_x000a_2026-04-30 10:42:49: Екатерина изменил(-а) название на 3.50. На площадку сдана вся информация: рассадка, расстановка, списки, машины, картинки, тайминг и т.д."/>
    <x v="0"/>
    <x v="0"/>
    <x v="0"/>
  </r>
  <r>
    <n v="416"/>
    <s v="ЛИЧНО сентябрь 24.09.2026"/>
    <s v="Дивизион Конференции"/>
    <s v="К работе"/>
    <m/>
    <m/>
    <s v="Екатерина"/>
    <s v="3.49. Получено подтверждение по доставке и заезду"/>
    <s v="14.09.2026 03:00"/>
    <x v="6"/>
    <m/>
    <s v="Действие"/>
    <s v="Низкий"/>
    <s v="N"/>
    <m/>
    <s v="28.04.2026 16:57:50"/>
    <m/>
    <m/>
    <s v="Екатерина"/>
    <m/>
    <m/>
    <s v="N"/>
    <s v="N"/>
    <m/>
    <x v="4"/>
    <m/>
    <s v="2026-04-28 16:57:51: Екатерина создал(-а) задачу;_x000a_2026-04-29 11:27:15: Екатерина изменил(-а) дату на 15.09.2026;_x000a_2026-04-29 11:27:16: Екатерина изменил(-а) дату на 14.09.2026 - 15.09.2026;_x000a_2026-04-29 11:27:18: Екатерина изменил(-а) дату на 14.09.2026 - 17.09.2026;_x000a_2026-04-29 13:20:52: Екатерина добавил(-а) тег PRO;_x000a_2026-04-29 13:20:55: Екатерина добавил(-а) тег координатор;_x000a_2026-04-29 13:20:56: Екатерина добавил(-а) тег страт-п-с-26-09;_x000a_2026-04-29 15:16:24: Екатерина изменил(-а) название на 3.50. Получено подтверждение по доставке и заезду;_x000a_2026-04-30 10:42:46: Екатерина изменил(-а) название на 3.49. Получено подтверждение по доставке и заезду"/>
    <x v="0"/>
    <x v="0"/>
    <x v="0"/>
  </r>
  <r>
    <n v="415"/>
    <s v="ЛИЧНО сентябрь 24.09.2026"/>
    <s v="Дивизион Конференции"/>
    <s v="К работе"/>
    <m/>
    <m/>
    <s v="Екатерина"/>
    <s v="3.48. Рабочая тетрадь, оформление сдано в типографию"/>
    <s v="14.09.2026 03:00"/>
    <x v="6"/>
    <m/>
    <s v="Действие"/>
    <s v="Низкий"/>
    <s v="N"/>
    <m/>
    <s v="28.04.2026 16:57:41"/>
    <m/>
    <m/>
    <s v="Екатерина"/>
    <m/>
    <m/>
    <s v="N"/>
    <s v="N"/>
    <m/>
    <x v="4"/>
    <m/>
    <s v="2026-04-28 16:57:41: Екатерина создал(-а) задачу;_x000a_2026-04-29 11:27:08: Екатерина изменил(-а) дату на 15.09.2026;_x000a_2026-04-29 11:27:10: Екатерина изменил(-а) дату на 14.09.2026 - 15.09.2026;_x000a_2026-04-29 11:27:11: Екатерина изменил(-а) дату на 14.09.2026 - 17.09.2026;_x000a_2026-04-29 13:19:58: Екатерина добавил(-а) тег PRO;_x000a_2026-04-29 13:20:02: Екатерина добавил(-а) тег координатор;_x000a_2026-04-29 13:20:03: Екатерина добавил(-а) тег страт-п-с-26-09;_x000a_2026-04-29 15:16:17: Екатерина изменил(-а) название на 3.49. Рабочая тетрадь, оформление сдано в типографию;_x000a_2026-04-30 10:42:39: Екатерина изменил(-а) название на 3.48. Рабочая тетрадь, оформление сдано в типографию"/>
    <x v="0"/>
    <x v="0"/>
    <x v="0"/>
  </r>
  <r>
    <n v="414"/>
    <s v="ЛИЧНО сентябрь 24.09.2026"/>
    <s v="Дивизион Конференции"/>
    <s v="К работе"/>
    <m/>
    <m/>
    <s v="Екатерина"/>
    <s v="3.47. Проведена совещание-распределение с рабочей группой, кто едет на меропритие"/>
    <s v="14.09.2026 03:00"/>
    <x v="6"/>
    <m/>
    <s v="Действие"/>
    <s v="Низкий"/>
    <s v="N"/>
    <m/>
    <s v="28.04.2026 16:57:27"/>
    <m/>
    <m/>
    <s v="Екатерина"/>
    <m/>
    <m/>
    <s v="N"/>
    <s v="N"/>
    <m/>
    <x v="4"/>
    <m/>
    <s v="2026-04-28 16:57:28: Екатерина создал(-а) задачу;_x000a_2026-04-29 11:27:04: Екатерина изменил(-а) дату на 15.09.2026;_x000a_2026-04-29 11:27:05: Екатерина изменил(-а) дату на 14.09.2026 - 15.09.2026;_x000a_2026-04-29 11:27:07: Екатерина изменил(-а) дату на 14.09.2026 - 17.09.2026;_x000a_2026-04-29 13:19:50: Екатерина добавил(-а) тег PRO;_x000a_2026-04-29 13:19:55: Екатерина добавил(-а) тег координатор;_x000a_2026-04-29 13:19:55: Екатерина добавил(-а) тег страт-п-с-26-09;_x000a_2026-04-29 15:16:12: Екатерина изменил(-а) название на 3.48. Проведена совещание-распределение с рабочей группой, кто едет на меропритие;_x000a_2026-04-30 10:42:36: Екатерина изменил(-а) название на 3.47. Проведена совещание-распределение с рабочей группой, кто едет на меропритие"/>
    <x v="0"/>
    <x v="0"/>
    <x v="0"/>
  </r>
  <r>
    <n v="413"/>
    <s v="ЛИЧНО сентябрь 24.09.2026"/>
    <s v="Дивизион Конференции"/>
    <s v="К работе"/>
    <m/>
    <m/>
    <s v="Екатерина"/>
    <s v="3.46. Сформирована папка координатора"/>
    <s v="14.09.2026 03:00"/>
    <x v="6"/>
    <m/>
    <s v="Действие"/>
    <s v="Низкий"/>
    <s v="N"/>
    <m/>
    <s v="28.04.2026 16:57:16"/>
    <m/>
    <m/>
    <s v="Екатерина"/>
    <m/>
    <m/>
    <s v="N"/>
    <s v="N"/>
    <m/>
    <x v="4"/>
    <m/>
    <s v="2026-04-28 16:57:16: Екатерина создал(-а) задачу;_x000a_2026-04-29 11:26:59: Екатерина изменил(-а) дату на 15.09.2026;_x000a_2026-04-29 11:27:01: Екатерина изменил(-а) дату на 14.09.2026 - 15.09.2026;_x000a_2026-04-29 11:27:02: Екатерина изменил(-а) дату на 14.09.2026 - 17.09.2026;_x000a_2026-04-29 13:19:43: Екатерина добавил(-а) тег PRO;_x000a_2026-04-29 13:19:47: Екатерина добавил(-а) тег координатор;_x000a_2026-04-29 13:19:47: Екатерина добавил(-а) тег страт-п-с-26-09;_x000a_2026-04-29 15:16:08: Екатерина изменил(-а) название на 3.47. Сформирована папка координатора;_x000a_2026-04-30 10:42:33: Екатерина изменил(-а) название на 3.46. Сформирована папка координатора"/>
    <x v="0"/>
    <x v="0"/>
    <x v="0"/>
  </r>
  <r>
    <n v="412"/>
    <s v="ЛИЧНО сентябрь 24.09.2026"/>
    <s v="Дивизион Конференции"/>
    <s v="К работе"/>
    <m/>
    <m/>
    <s v="Екатерина"/>
    <s v="3.45. Сформирована папка участников мероприятия: бейджи, бух документы"/>
    <s v="14.09.2026 03:00"/>
    <x v="6"/>
    <m/>
    <s v="Действие"/>
    <s v="Низкий"/>
    <s v="N"/>
    <m/>
    <s v="28.04.2026 16:57:03"/>
    <m/>
    <m/>
    <s v="Екатерина"/>
    <m/>
    <m/>
    <s v="N"/>
    <s v="N"/>
    <m/>
    <x v="4"/>
    <m/>
    <s v="2026-04-28 16:57:04: Екатерина создал(-а) задачу;_x000a_2026-04-29 11:26:53: Екатерина изменил(-а) дату на 15.09.2026;_x000a_2026-04-29 11:26:55: Екатерина изменил(-а) дату на 14.09.2026 - 15.09.2026;_x000a_2026-04-29 11:26:57: Екатерина изменил(-а) дату на 14.09.2026 - 17.09.2026;_x000a_2026-04-29 13:19:36: Екатерина добавил(-а) тег PRO;_x000a_2026-04-29 13:19:38: Екатерина добавил(-а) тег координатор;_x000a_2026-04-29 13:19:40: Екатерина добавил(-а) тег страт-п-с-26-09;_x000a_2026-04-29 15:16:03: Екатерина изменил(-а) название на 3.46. Сформирована папка участников мероприятия: бейджи, бух документы;_x000a_2026-04-30 10:42:28: Екатерина изменил(-а) название на 3.45. Сформирована папка участников мероприятия: бейджи, бух документы"/>
    <x v="0"/>
    <x v="0"/>
    <x v="0"/>
  </r>
  <r>
    <n v="411"/>
    <s v="ЛИЧНО сентябрь 24.09.2026"/>
    <s v="Дивизион Конференции"/>
    <s v="К работе"/>
    <m/>
    <m/>
    <s v="Екатерина"/>
    <s v="3.44. Памятки отправлены всем"/>
    <s v="14.09.2026 03:00"/>
    <x v="6"/>
    <m/>
    <s v="Действие"/>
    <s v="Низкий"/>
    <s v="N"/>
    <m/>
    <s v="28.04.2026 16:56:52"/>
    <m/>
    <m/>
    <s v="Екатерина"/>
    <m/>
    <m/>
    <s v="N"/>
    <s v="N"/>
    <m/>
    <x v="4"/>
    <m/>
    <s v="2026-04-28 16:56:52: Екатерина создал(-а) задачу;_x000a_2026-04-29 11:26:49: Екатерина изменил(-а) дату на 15.09.2026;_x000a_2026-04-29 11:26:50: Екатерина изменил(-а) дату на 14.09.2026 - 15.09.2026;_x000a_2026-04-29 11:26:52: Екатерина изменил(-а) дату на 14.09.2026 - 17.09.2026;_x000a_2026-04-29 13:19:29: Екатерина добавил(-а) тег PRO;_x000a_2026-04-29 13:19:32: Екатерина добавил(-а) тег координатор;_x000a_2026-04-29 13:19:33: Екатерина добавил(-а) тег страт-п-с-26-09;_x000a_2026-04-29 15:15:59: Екатерина изменил(-а) название на 3.45. Памятки отправлены всем;_x000a_2026-04-30 10:42:24: Екатерина изменил(-а) название на 3.44. Памятки отправлены всем"/>
    <x v="0"/>
    <x v="0"/>
    <x v="0"/>
  </r>
  <r>
    <n v="410"/>
    <s v="ЛИЧНО сентябрь 24.09.2026"/>
    <s v="Дивизион Конференции"/>
    <s v="К работе"/>
    <m/>
    <m/>
    <s v="Екатерина"/>
    <s v="3.43. Сформирован и оплачен окончательный заказ по площадке и подрядчикам, ВСЕМУ"/>
    <s v="14.09.2026 03:00"/>
    <x v="6"/>
    <m/>
    <s v="Действие"/>
    <s v="Низкий"/>
    <s v="N"/>
    <m/>
    <s v="28.04.2026 16:56:39"/>
    <m/>
    <m/>
    <s v="Екатерина"/>
    <m/>
    <m/>
    <s v="N"/>
    <s v="N"/>
    <m/>
    <x v="4"/>
    <m/>
    <s v="2026-04-28 16:56:40: Екатерина создал(-а) задачу;_x000a_2026-04-29 11:26:43: Екатерина изменил(-а) дату на 15.09.2026;_x000a_2026-04-29 11:26:46: Екатерина изменил(-а) дату на 15.09.2026 - 17.09.2026;_x000a_2026-04-29 11:26:48: Екатерина изменил(-а) дату на 14.09.2026 - 17.09.2026;_x000a_2026-04-29 13:19:19: Екатерина добавил(-а) тег PRO;_x000a_2026-04-29 13:19:23: Екатерина добавил(-а) тег координатор;_x000a_2026-04-29 13:19:25: Екатерина добавил(-а) тег страт-п-с-26-09;_x000a_2026-04-29 15:15:56: Екатерина изменил(-а) название на 3.44. Сформирован и оплачен окончательный заказ по площадке и подрядчикам, ВСЕМУ;_x000a_2026-04-30 10:42:21: Екатерина изменил(-а) название на 3.43. Сформирован и оплачен окончательный заказ по площадке и подрядчикам, ВСЕМУ"/>
    <x v="0"/>
    <x v="0"/>
    <x v="0"/>
  </r>
  <r>
    <n v="408"/>
    <s v="ЛИЧНО сентябрь 24.09.2026"/>
    <s v="Дивизион Конференции"/>
    <s v="К работе"/>
    <m/>
    <m/>
    <s v="Екатерина"/>
    <s v="3.42. Техническая подготовка завершена"/>
    <s v="14.09.2026 03:00"/>
    <x v="6"/>
    <m/>
    <s v="Действие"/>
    <s v="Низкий"/>
    <s v="N"/>
    <m/>
    <s v="28.04.2026 16:56:20"/>
    <m/>
    <m/>
    <s v="Екатерина"/>
    <m/>
    <m/>
    <s v="N"/>
    <s v="N"/>
    <m/>
    <x v="4"/>
    <m/>
    <s v="2026-04-28 16:56:20: Екатерина создал(-а) задачу;_x000a_2026-04-29 11:25:28: Екатерина изменил(-а) дату на 08.09.2026;_x000a_2026-04-29 11:25:37: Екатерина изменил(-а) дату на 08.09.2026 - 19.09.2026;_x000a_2026-04-29 11:25:46: Екатерина изменил(-а) дату на 19.09.2026;_x000a_2026-04-29 11:25:56: Екатерина изменил(-а) дату на 19.09.2026 - 22.09.2026;_x000a_2026-04-29 11:26:12: Екатерина изменил(-а) дату на 14.09.2026 - 22.09.2026;_x000a_2026-04-29 11:26:16: Екатерина изменил(-а) дату на 14.09.2026 - 17.09.2026;_x000a_2026-04-29 13:19:03: Екатерина добавил(-а) тег PRO;_x000a_2026-04-29 13:19:06: Екатерина добавил(-а) тег координатор;_x000a_2026-04-29 13:19:07: Екатерина добавил(-а) тег страт-п-с-26-09;_x000a_2026-04-29 15:15:49: Екатерина изменил(-а) название на 3.42. Техническая подготовка завершена"/>
    <x v="0"/>
    <x v="0"/>
    <x v="0"/>
  </r>
  <r>
    <n v="407"/>
    <s v="ЛИЧНО сентябрь 24.09.2026"/>
    <s v="Дивизион Конференции"/>
    <s v="К работе"/>
    <m/>
    <m/>
    <s v="Екатерина"/>
    <s v="3.41. Утвердить список подарков и гонораров"/>
    <s v="07.09.2026 03:00"/>
    <x v="7"/>
    <m/>
    <s v="Действие"/>
    <s v="Низкий"/>
    <s v="N"/>
    <m/>
    <s v="28.04.2026 16:56:09"/>
    <m/>
    <m/>
    <s v="Екатерина"/>
    <m/>
    <m/>
    <s v="N"/>
    <s v="N"/>
    <m/>
    <x v="4"/>
    <m/>
    <s v="2026-04-28 16:56:09: Екатерина создал(-а) задачу;_x000a_2026-04-28 17:19:57: Екатерина изменил(-а) название на 3.44. Утвердить список подарков и гонораров;_x000a_2026-04-29 11:24:08: Екатерина изменил(-а) дату на 08.09.2026;_x000a_2026-04-29 11:24:09: Екатерина изменил(-а) дату на 09.09.2026;_x000a_2026-04-29 11:24:10: Екатерина изменил(-а) дату на 09.09.2026 - 11.09.2026;_x000a_2026-04-29 11:24:56: Екатерина изменил(-а) дату на 07.09.2026 - 11.09.2026;_x000a_2026-04-29 11:24:59: Екатерина изменил(-а) дату на 07.09.2026 - 10.09.2026;_x000a_2026-04-29 13:18:56: Екатерина добавил(-а) тег PRO;_x000a_2026-04-29 13:19:00: Екатерина добавил(-а) тег координатор;_x000a_2026-04-29 13:19:00: Екатерина добавил(-а) тег страт-п-с-26-09;_x000a_2026-04-29 15:15:04: Екатерина изменил(-а) название на 3.41. Утвердить список подарков и гонораров"/>
    <x v="0"/>
    <x v="0"/>
    <x v="0"/>
  </r>
  <r>
    <n v="406"/>
    <s v="ЛИЧНО сентябрь 24.09.2026"/>
    <s v="Дивизион Конференции"/>
    <s v="К работе"/>
    <m/>
    <m/>
    <s v="Екатерина"/>
    <s v="3.40. Получить список спикеров для табличек, бейджей, подарков, гонораров"/>
    <s v="07.09.2026 03:00"/>
    <x v="7"/>
    <m/>
    <s v="Действие"/>
    <s v="Низкий"/>
    <s v="N"/>
    <m/>
    <s v="28.04.2026 16:55:56"/>
    <m/>
    <m/>
    <s v="Екатерина"/>
    <m/>
    <m/>
    <s v="N"/>
    <s v="N"/>
    <m/>
    <x v="4"/>
    <m/>
    <s v="2026-04-28 16:55:56: Екатерина создал(-а) задачу;_x000a_2026-04-28 17:20:09: Екатерина изменил(-а) название на 3.43. Получить список спикеров для табличек, бейджей, подарков, гонораров;_x000a_2026-04-29 11:24:46: Екатерина изменил(-а) дату на 08.09.2026;_x000a_2026-04-29 11:24:47: Екатерина изменил(-а) дату на 07.09.2026 - 08.09.2026;_x000a_2026-04-29 11:24:50: Екатерина изменил(-а) дату на 07.09.2026 - 10.09.2026;_x000a_2026-04-29 13:18:51: Екатерина добавил(-а) тег PRO;_x000a_2026-04-29 13:18:53: Екатерина добавил(-а) тег координатор;_x000a_2026-04-29 13:18:53: Екатерина добавил(-а) тег страт-п-с-26-09;_x000a_2026-04-29 15:15:01: Екатерина изменил(-а) название на 3.40. Получить список спикеров для табличек, бейджей, подарков, гонораров"/>
    <x v="0"/>
    <x v="0"/>
    <x v="0"/>
  </r>
  <r>
    <n v="405"/>
    <s v="ЛИЧНО сентябрь 24.09.2026"/>
    <s v="Дивизион Конференции"/>
    <s v="К работе"/>
    <m/>
    <m/>
    <s v="Екатерина"/>
    <s v="3.39. Провести совещание с продюсером"/>
    <s v="07.09.2026 03:00"/>
    <x v="7"/>
    <m/>
    <s v="Действие"/>
    <s v="Низкий"/>
    <s v="N"/>
    <m/>
    <s v="28.04.2026 16:55:39"/>
    <m/>
    <m/>
    <s v="Екатерина"/>
    <m/>
    <m/>
    <s v="N"/>
    <s v="N"/>
    <m/>
    <x v="4"/>
    <m/>
    <s v="2026-04-28 16:55:39: Екатерина создал(-а) задачу;_x000a_2026-04-28 17:20:21: Екатерина изменил(-а) название на 3.42. Провести совещание с продюсером;_x000a_2026-04-29 11:24:41: Екатерина изменил(-а) дату на 08.09.2026;_x000a_2026-04-29 11:24:43: Екатерина изменил(-а) дату на 07.09.2026 - 08.09.2026;_x000a_2026-04-29 11:24:45: Екатерина изменил(-а) дату на 07.09.2026 - 10.09.2026;_x000a_2026-04-29 13:18:44: Екатерина добавил(-а) тег PRO;_x000a_2026-04-29 13:18:48: Екатерина добавил(-а) тег координатор;_x000a_2026-04-29 13:18:48: Екатерина добавил(-а) тег страт-п-с-26-09;_x000a_2026-04-29 15:14:57: Екатерина изменил(-а) название на 3.3. Провести совещание с продюсером;_x000a_2026-04-29 15:14:57: Екатерина изменил(-а) название на 3.39. Провести совещание с продюсером"/>
    <x v="0"/>
    <x v="0"/>
    <x v="0"/>
  </r>
  <r>
    <n v="404"/>
    <s v="ЛИЧНО сентябрь 24.09.2026"/>
    <s v="Дивизион Конференции"/>
    <s v="К работе"/>
    <m/>
    <m/>
    <s v="Екатерина"/>
    <s v="3.38. Найти наемных, фотографа"/>
    <s v="07.09.2026 03:00"/>
    <x v="7"/>
    <m/>
    <s v="Действие"/>
    <s v="Низкий"/>
    <s v="N"/>
    <m/>
    <s v="28.04.2026 16:55:28"/>
    <m/>
    <m/>
    <s v="Екатерина"/>
    <m/>
    <m/>
    <s v="N"/>
    <s v="N"/>
    <m/>
    <x v="4"/>
    <m/>
    <s v="2026-04-28 16:55:28: Екатерина создал(-а) задачу;_x000a_2026-04-28 17:20:34: Екатерина изменил(-а) название на 3.41. Найти наемные, фотограф;_x000a_2026-04-28 17:20:36: Екатерина изменил(-а) название на 3.41. Найти наемных, фотограф;_x000a_2026-04-28 17:20:43: Екатерина изменил(-а) название на 3.41. Найти наемных, фотографа;_x000a_2026-04-29 11:24:35: Екатерина изменил(-а) дату на 08.09.2026;_x000a_2026-04-29 11:24:37: Екатерина изменил(-а) дату на 07.09.2026 - 08.09.2026;_x000a_2026-04-29 11:24:39: Екатерина изменил(-а) дату на 07.09.2026 - 10.09.2026;_x000a_2026-04-29 13:18:38: Екатерина добавил(-а) тег PRO;_x000a_2026-04-29 13:18:40: Екатерина добавил(-а) тег координатор;_x000a_2026-04-29 13:18:41: Екатерина добавил(-а) тег страт-п-с-26-09;_x000a_2026-04-29 15:14:52: Екатерина изменил(-а) название на 3.38. Найти наемных, фотографа"/>
    <x v="0"/>
    <x v="0"/>
    <x v="0"/>
  </r>
  <r>
    <n v="403"/>
    <s v="ЛИЧНО сентябрь 24.09.2026"/>
    <s v="Дивизион Конференции"/>
    <s v="К работе"/>
    <m/>
    <m/>
    <s v="Екатерина"/>
    <s v="3.37. Рабочая тетрадь: отдать ТЗ дизайнеру"/>
    <s v="07.09.2026 03:00"/>
    <x v="7"/>
    <m/>
    <s v="Действие"/>
    <s v="Низкий"/>
    <s v="N"/>
    <m/>
    <s v="28.04.2026 16:55:16"/>
    <m/>
    <m/>
    <s v="Екатерина"/>
    <m/>
    <m/>
    <s v="N"/>
    <s v="N"/>
    <m/>
    <x v="4"/>
    <m/>
    <s v="2026-04-28 16:55:16: Екатерина создал(-а) задачу;_x000a_2026-04-28 17:20:56: Екатерина изменил(-а) название на 3.40. Рабочая тетрадь: отдать ТЗ дизайнеру;_x000a_2026-04-29 11:24:31: Екатерина изменил(-а) дату на 08.09.2026;_x000a_2026-04-29 11:24:32: Екатерина изменил(-а) дату на 07.09.2026 - 08.09.2026;_x000a_2026-04-29 11:24:34: Екатерина изменил(-а) дату на 07.09.2026 - 10.09.2026;_x000a_2026-04-29 13:18:29: Екатерина добавил(-а) тег PRO;_x000a_2026-04-29 13:18:34: Екатерина добавил(-а) тег координатор;_x000a_2026-04-29 13:18:34: Екатерина добавил(-а) тег страт-п-с-26-09;_x000a_2026-04-29 15:14:42: Екатерина изменил(-а) название на 3.37. Рабочая тетрадь: отдать ТЗ дизайнеру"/>
    <x v="0"/>
    <x v="0"/>
    <x v="0"/>
  </r>
  <r>
    <n v="402"/>
    <s v="ЛИЧНО сентябрь 24.09.2026"/>
    <s v="Дивизион Конференции"/>
    <s v="К работе"/>
    <m/>
    <m/>
    <s v="Екатерина"/>
    <s v="3.36. Утвердить распределение по точкам и наемным"/>
    <s v="07.09.2026 03:00"/>
    <x v="7"/>
    <m/>
    <s v="Действие"/>
    <s v="Низкий"/>
    <s v="N"/>
    <m/>
    <s v="28.04.2026 16:55:03"/>
    <m/>
    <m/>
    <s v="Екатерина"/>
    <m/>
    <m/>
    <s v="N"/>
    <s v="N"/>
    <m/>
    <x v="4"/>
    <m/>
    <s v="2026-04-28 16:55:03: Екатерина создал(-а) задачу;_x000a_2026-04-28 17:21:21: Екатерина изменил(-а) название на 3.39. Утвердить распределение по точкам и наемным;_x000a_2026-04-29 11:24:24: Екатерина изменил(-а) дату на 09.09.2026;_x000a_2026-04-29 11:24:27: Екатерина изменил(-а) дату на 07.09.2026 - 09.09.2026;_x000a_2026-04-29 11:24:28: Екатерина изменил(-а) дату на 07.09.2026 - 10.09.2026;_x000a_2026-04-29 13:18:16: Екатерина добавил(-а) тег PRO;_x000a_2026-04-29 13:18:21: Екатерина добавил(-а) тег координатор;_x000a_2026-04-29 13:18:22: Екатерина добавил(-а) тег Продюсер;_x000a_2026-04-29 13:18:24: Екатерина убрал(-а) тег Продюсер;_x000a_2026-04-29 13:18:26: Екатерина добавил(-а) тег страт-п-с-26-09;_x000a_2026-04-29 15:14:37: Екатерина изменил(-а) название на 3.36. Утвердить распределение по точкам и наемным"/>
    <x v="0"/>
    <x v="0"/>
    <x v="0"/>
  </r>
  <r>
    <n v="401"/>
    <s v="ЛИЧНО сентябрь 24.09.2026"/>
    <s v="Дивизион Конференции"/>
    <s v="К работе"/>
    <m/>
    <m/>
    <s v="Екатерина"/>
    <s v="3.35. Утвердить и согласовать список полиграфии и макеты"/>
    <s v="07.09.2026 03:00"/>
    <x v="7"/>
    <m/>
    <s v="Действие"/>
    <s v="Низкий"/>
    <s v="N"/>
    <m/>
    <s v="28.04.2026 16:54:51"/>
    <m/>
    <m/>
    <s v="Екатерина"/>
    <m/>
    <m/>
    <s v="N"/>
    <s v="N"/>
    <m/>
    <x v="4"/>
    <m/>
    <s v="2026-04-28 16:54:51: Екатерина создал(-а) задачу;_x000a_2026-04-28 17:21:35: Екатерина изменил(-а) название на 3.38. Утвердить и согласован список полиграфии и макеты;_x000a_2026-04-28 17:21:40: Екатерина изменил(-а) название на 3.38. Утвердить и согласовать список полиграфии и макеты;_x000a_2026-04-29 11:24:17: Екатерина изменил(-а) дату на 08.09.2026;_x000a_2026-04-29 11:24:21: Екатерина изменил(-а) дату на 08.09.2026 - 10.09.2026;_x000a_2026-04-29 11:24:22: Екатерина изменил(-а) дату на 07.09.2026 - 10.09.2026;_x000a_2026-04-29 13:18:10: Екатерина добавил(-а) тег PRO;_x000a_2026-04-29 13:18:12: Екатерина добавил(-а) тег координатор;_x000a_2026-04-29 13:18:13: Екатерина добавил(-а) тег страт-п-с-26-09;_x000a_2026-04-29 15:14:33: Екатерина изменил(-а) название на 3.35. Утвердить и согласовать список полиграфии и макеты"/>
    <x v="0"/>
    <x v="0"/>
    <x v="0"/>
  </r>
  <r>
    <n v="400"/>
    <s v="ЛИЧНО сентябрь 24.09.2026"/>
    <s v="Дивизион Конференции"/>
    <s v="К работе"/>
    <m/>
    <m/>
    <s v="Екатерина"/>
    <s v="3.34. Провести корректировку сметы проведения в зависимости от продаж"/>
    <s v="07.09.2026 03:00"/>
    <x v="7"/>
    <m/>
    <s v="Действие"/>
    <s v="Низкий"/>
    <s v="N"/>
    <m/>
    <s v="28.04.2026 16:54:40"/>
    <m/>
    <m/>
    <s v="Екатерина"/>
    <m/>
    <m/>
    <s v="N"/>
    <s v="N"/>
    <m/>
    <x v="4"/>
    <m/>
    <s v="2026-04-28 16:54:41: Екатерина создал(-а) задачу;_x000a_2026-04-28 17:22:04: Екатерина изменил(-а) название на 3.37. Провести корректировка сметы проведения в зависимости от продаж;_x000a_2026-04-28 17:22:11: Екатерина изменил(-а) название на 3.37. Провести корректировку сметы проведения в зависимости от продаж;_x000a_2026-04-29 11:24:12: Екатерина изменил(-а) дату на 08.09.2026;_x000a_2026-04-29 11:24:14: Екатерина изменил(-а) дату на 07.09.2026 - 08.09.2026;_x000a_2026-04-29 11:24:15: Екатерина изменил(-а) дату на 07.09.2026 - 10.09.2026;_x000a_2026-04-29 13:18:01: Екатерина добавил(-а) тег PRO;_x000a_2026-04-29 13:18:05: Екатерина добавил(-а) тег координатор;_x000a_2026-04-29 13:18:06: Екатерина добавил(-а) тег страт-п-с-26-09;_x000a_2026-04-29 15:14:30: Екатерина изменил(-а) название на 3.34. Провести корректировку сметы проведения в зависимости от продаж"/>
    <x v="0"/>
    <x v="0"/>
    <x v="0"/>
  </r>
  <r>
    <n v="399"/>
    <s v="ЛИЧНО сентябрь 24.09.2026"/>
    <s v="Дивизион Конференции"/>
    <s v="К работе"/>
    <m/>
    <m/>
    <s v="Екатерина"/>
    <s v="3.33. Провести совещание с продюсером"/>
    <s v="07.09.2026 03:00"/>
    <x v="7"/>
    <m/>
    <s v="Действие"/>
    <s v="Низкий"/>
    <s v="N"/>
    <m/>
    <s v="28.04.2026 16:54:29"/>
    <m/>
    <m/>
    <s v="Екатерина"/>
    <m/>
    <m/>
    <s v="N"/>
    <s v="N"/>
    <m/>
    <x v="4"/>
    <m/>
    <s v="2026-04-28 16:54:30: Екатерина создал(-а) задачу;_x000a_2026-04-28 17:22:25: Екатерина изменил(-а) название на 3.36. Провести совещание с продюсером;_x000a_2026-04-28 17:22:28: Екатерина изменил(-а) название на 3.36. Провести совещание с продюсером;_x000a_2026-04-29 11:23:40: Екатерина изменил(-а) дату на 08.09.2026;_x000a_2026-04-29 11:23:41: Екатерина изменил(-а) дату на 07.09.2026 - 08.09.2026;_x000a_2026-04-29 11:23:43: Екатерина изменил(-а) дату на 07.09.2026 - 11.09.2026;_x000a_2026-04-29 11:23:46: Екатерина изменил(-а) дату на 07.09.2026 - 10.09.2026;_x000a_2026-04-29 13:17:55: Екатерина добавил(-а) тег PRO;_x000a_2026-04-29 13:17:58: Екатерина добавил(-а) тег координатор;_x000a_2026-04-29 13:17:58: Екатерина добавил(-а) тег страт-п-с-26-09;_x000a_2026-04-29 15:14:27: Екатерина изменил(-а) название на 3.33. Провести совещание с продюсером"/>
    <x v="0"/>
    <x v="0"/>
    <x v="0"/>
  </r>
  <r>
    <n v="398"/>
    <s v="ЛИЧНО сентябрь 24.09.2026"/>
    <s v="Дивизион Конференции"/>
    <s v="К работе"/>
    <m/>
    <m/>
    <s v="Екатерина"/>
    <s v="3.32. Провести проверку битрикс-списка участников с бухреестром"/>
    <s v="07.09.2026 03:00"/>
    <x v="7"/>
    <m/>
    <s v="Действие"/>
    <s v="Низкий"/>
    <s v="N"/>
    <m/>
    <s v="28.04.2026 16:54:18"/>
    <m/>
    <m/>
    <s v="Екатерина"/>
    <m/>
    <m/>
    <s v="N"/>
    <s v="N"/>
    <m/>
    <x v="4"/>
    <m/>
    <s v="2026-04-28 16:54:19: Екатерина создал(-а) задачу;_x000a_2026-04-28 17:22:45: Екатерина изменил(-а) название на 3.35. Произведена проверка битрикса-списка участников с бухреестром;_x000a_2026-04-28 17:22:57: Екатерина изменил(-а) название на 3.35. Провести проверка битрикса-списка участников с бухреестром;_x000a_2026-04-28 17:23:06: Екатерина изменил(-а) название на 3.35. Провести проверку битрикса-списка участников с бухреестром;_x000a_2026-04-28 17:23:09: Екатерина изменил(-а) название на 3.35. Провести проверку битрикс-списка участников с бухреестром;_x000a_2026-04-29 11:23:27: Екатерина изменил(-а) дату на 10.09.2026;_x000a_2026-04-29 11:23:37: Екатерина изменил(-а) дату на 07.09.2026 - 10.09.2026;_x000a_2026-04-29 13:17:49: Екатерина добавил(-а) тег PRO;_x000a_2026-04-29 13:17:52: Екатерина добавил(-а) тег координатор;_x000a_2026-04-29 13:17:52: Екатерина добавил(-а) тег страт-п-с-26-09;_x000a_2026-04-29 15:14:21: Екатерина изменил(-а) название на 3.32. Провести проверку битрикс-списка участников с бухреестром"/>
    <x v="0"/>
    <x v="0"/>
    <x v="0"/>
  </r>
  <r>
    <n v="397"/>
    <s v="ЛИЧНО сентябрь 24.09.2026"/>
    <s v="Дивизион Конференции"/>
    <s v="К работе"/>
    <m/>
    <m/>
    <s v="Екатерина"/>
    <s v="3.31. Получить предварительный список подарков спикерам, партнерам"/>
    <s v="31.08.2026 03:00"/>
    <x v="8"/>
    <m/>
    <s v="Действие"/>
    <s v="Низкий"/>
    <s v="N"/>
    <m/>
    <s v="28.04.2026 16:54:10"/>
    <m/>
    <m/>
    <s v="Екатерина"/>
    <m/>
    <m/>
    <s v="N"/>
    <s v="N"/>
    <m/>
    <x v="4"/>
    <m/>
    <s v="2026-04-28 16:54:10: Екатерина создал(-а) задачу;_x000a_2026-04-28 17:23:31: Екатерина изменил(-а) название на 3.34. Получ предварительный список подарков спикерам, партнерам;_x000a_2026-04-28 17:23:33: Екатерина изменил(-а) название на 3.34. Получить предварительный список подарков спикерам, партнерам;_x000a_2026-04-29 11:22:48: Екатерина изменил(-а) дату на 01.09.2026;_x000a_2026-04-29 11:22:51: Екатерина изменил(-а) дату на 01.09.2026 - 04.09.2026;_x000a_2026-04-29 11:23:14: Екатерина изменил(-а) дату на 31.08.2026 - 04.09.2026;_x000a_2026-04-29 11:23:15: Екатерина изменил(-а) дату на 31.08.2026 - 05.09.2026;_x000a_2026-04-29 13:17:42: Екатерина добавил(-а) тег PRO;_x000a_2026-04-29 13:17:44: Екатерина добавил(-а) тег координатор;_x000a_2026-04-29 13:17:45: Екатерина добавил(-а) тег страт-п-с-26-09;_x000a_2026-04-29 15:13:49: Екатерина изменил(-а) название на 3.31. Получить предварительный список подарков спикерам, партнерам"/>
    <x v="0"/>
    <x v="0"/>
    <x v="0"/>
  </r>
  <r>
    <n v="396"/>
    <s v="ЛИЧНО сентябрь 24.09.2026"/>
    <s v="Дивизион Конференции"/>
    <s v="К работе"/>
    <m/>
    <m/>
    <s v="Екатерина"/>
    <s v="3.30. Написать предварительное распределение по точкам и наемным"/>
    <s v="31.08.2026 03:00"/>
    <x v="8"/>
    <m/>
    <s v="Действие"/>
    <s v="Низкий"/>
    <s v="N"/>
    <m/>
    <s v="28.04.2026 16:54:03"/>
    <m/>
    <m/>
    <s v="Екатерина"/>
    <m/>
    <m/>
    <s v="N"/>
    <s v="N"/>
    <m/>
    <x v="4"/>
    <m/>
    <s v="2026-04-28 16:54:04: Екатерина создал(-а) задачу;_x000a_2026-04-28 17:23:48: Екатерина изменил(-а) название на 3.33. Написа предварительное распределение по точкам и наемным;_x000a_2026-04-28 17:23:53: Екатерина изменил(-а) название на 3.33. Написать предварительное распределение по точкам и наемным;_x000a_2026-04-29 11:23:06: Екатерина изменил(-а) дату на 02.09.2026;_x000a_2026-04-29 11:23:07: Екатерина изменил(-а) дату на 31.08.2026 - 02.09.2026;_x000a_2026-04-29 11:23:09: Екатерина изменил(-а) дату на 31.08.2026 - 05.09.2026;_x000a_2026-04-29 13:17:36: Екатерина добавил(-а) тег PRO;_x000a_2026-04-29 13:17:39: Екатерина добавил(-а) тег координатор;_x000a_2026-04-29 13:17:39: Екатерина добавил(-а) тег страт-п-с-26-09;_x000a_2026-04-29 15:13:35: Екатерина изменил(-а) название на 3.30. Написать предварительное распределение по точкам и наемным"/>
    <x v="0"/>
    <x v="0"/>
    <x v="0"/>
  </r>
  <r>
    <n v="395"/>
    <s v="ЛИЧНО сентябрь 24.09.2026"/>
    <s v="Дивизион Конференции"/>
    <s v="К работе"/>
    <m/>
    <m/>
    <s v="Екатерина"/>
    <s v="3.29. Утвердить схему рассадки"/>
    <s v="31.08.2026 03:00"/>
    <x v="9"/>
    <m/>
    <s v="Действие"/>
    <s v="Низкий"/>
    <s v="N"/>
    <m/>
    <s v="28.04.2026 16:53:52"/>
    <m/>
    <m/>
    <s v="Екатерина"/>
    <m/>
    <m/>
    <s v="N"/>
    <s v="N"/>
    <m/>
    <x v="4"/>
    <m/>
    <s v="2026-04-28 16:53:52: Екатерина создал(-а) задачу;_x000a_2026-04-28 17:24:06: Екатерина изменил(-а) название на 3.32. Утвердить схема рассадки;_x000a_2026-04-28 17:24:10: Екатерина изменил(-а) название на 3.32. Утвердить схему рассадки;_x000a_2026-04-29 11:22:58: Екатерина изменил(-а) дату на 01.09.2026;_x000a_2026-04-29 11:23:00: Екатерина изменил(-а) дату на 31.08.2026 - 01.09.2026;_x000a_2026-04-29 11:23:02: Екатерина изменил(-а) дату на 31.08.2026 - 05.09.2026;_x000a_2026-04-29 11:23:04: Екатерина изменил(-а) дату на 31.08.2026 - 04.09.2026;_x000a_2026-04-29 12:57:34: Екатерина добавил(-а) тег PRO;_x000a_2026-04-29 12:57:37: Екатерина добавил(-а) тег координатор;_x000a_2026-04-29 12:57:38: Екатерина добавил(-а) тег страт-п-с-26-09;_x000a_2026-04-29 15:13:31: Екатерина изменил(-а) название на 3.29. Утвердить схему рассадки"/>
    <x v="0"/>
    <x v="0"/>
    <x v="0"/>
  </r>
  <r>
    <n v="394"/>
    <s v="ЛИЧНО сентябрь 24.09.2026"/>
    <s v="Дивизион Конференции"/>
    <s v="К работе"/>
    <m/>
    <m/>
    <s v="Екатерина"/>
    <s v="3.28. Провести совещание с продюсером"/>
    <s v="31.08.2026 03:00"/>
    <x v="9"/>
    <m/>
    <s v="Действие"/>
    <s v="Низкий"/>
    <s v="N"/>
    <m/>
    <s v="28.04.2026 16:53:42"/>
    <m/>
    <m/>
    <s v="Екатерина"/>
    <m/>
    <m/>
    <s v="N"/>
    <s v="N"/>
    <m/>
    <x v="4"/>
    <m/>
    <s v="2026-04-28 16:53:42: Екатерина создал(-а) задачу;_x000a_2026-04-28 17:24:23: Екатерина изменил(-а) название на 3.31. Провед совещание с продюсером;_x000a_2026-04-28 17:24:24: Екатерина изменил(-а) название на 3.31. Прове совещание с продюсером;_x000a_2026-04-28 17:24:29: Екатерина изменил(-а) название на 3.31. Провести совещание с продюсером;_x000a_2026-04-29 11:22:53: Екатерина изменил(-а) дату на 02.09.2026;_x000a_2026-04-29 11:22:55: Екатерина изменил(-а) дату на 31.08.2026 - 02.09.2026;_x000a_2026-04-29 11:22:57: Екатерина изменил(-а) дату на 31.08.2026 - 04.09.2026;_x000a_2026-04-29 12:57:26: Екатерина добавил(-а) тег PRO;_x000a_2026-04-29 12:57:30: Екатерина добавил(-а) тег координатор;_x000a_2026-04-29 12:57:31: Екатерина добавил(-а) тег страт-п-с-26-09;_x000a_2026-04-29 15:13:27: Екатерина изменил(-а) название на 3.28. Провести совещание с продюсером"/>
    <x v="0"/>
    <x v="0"/>
    <x v="0"/>
  </r>
  <r>
    <n v="393"/>
    <s v="ЛИЧНО сентябрь 24.09.2026"/>
    <s v="Дивизион Конференции"/>
    <s v="К работе"/>
    <m/>
    <m/>
    <s v="Екатерина"/>
    <s v="3.27. Отправить памятку"/>
    <s v="31.08.2026 03:00"/>
    <x v="9"/>
    <m/>
    <s v="Действие"/>
    <s v="Низкий"/>
    <s v="N"/>
    <m/>
    <s v="28.04.2026 16:53:29"/>
    <m/>
    <m/>
    <s v="Екатерина"/>
    <m/>
    <m/>
    <s v="N"/>
    <s v="N"/>
    <m/>
    <x v="4"/>
    <m/>
    <s v="2026-04-28 16:53:30: Екатерина создал(-а) задачу;_x000a_2026-04-28 17:24:35: Екатерина изменил(-а) название на 3.30. Отправить памятка;_x000a_2026-04-28 17:24:42: Екатерина изменил(-а) название на 3.30. Отправить памятку;_x000a_2026-04-29 11:22:33: Екатерина изменил(-а) дату на 02.09.2026;_x000a_2026-04-29 11:22:36: Екатерина изменил(-а) дату на 31.08.2026 - 02.09.2026;_x000a_2026-04-29 11:22:39: Екатерина изменил(-а) дату на 31.08.2026 - 04.09.2026;_x000a_2026-04-29 12:57:19: Екатерина добавил(-а) тег PRO;_x000a_2026-04-29 12:57:24: Екатерина добавил(-а) тег координатор;_x000a_2026-04-29 12:57:24: Екатерина добавил(-а) тег страт-п-с-26-09;_x000a_2026-04-29 15:13:22: Екатерина изменил(-а) название на 3.27. Отправить памятку"/>
    <x v="0"/>
    <x v="0"/>
    <x v="0"/>
  </r>
  <r>
    <n v="392"/>
    <s v="ЛИЧНО сентябрь 24.09.2026"/>
    <s v="Дивизион Конференции"/>
    <s v="К работе"/>
    <m/>
    <m/>
    <s v="Екатерина"/>
    <s v="3.26. Провести проверку битрикс-списка участников с бухреестром"/>
    <s v="31.08.2026 03:00"/>
    <x v="9"/>
    <m/>
    <s v="Действие"/>
    <s v="Низкий"/>
    <s v="N"/>
    <m/>
    <s v="28.04.2026 16:53:18"/>
    <m/>
    <m/>
    <s v="Екатерина"/>
    <m/>
    <m/>
    <s v="N"/>
    <s v="N"/>
    <m/>
    <x v="4"/>
    <m/>
    <s v="2026-04-28 16:53:18: Екатерина создал(-а) задачу;_x000a_2026-04-28 17:25:27: Екатерина изменил(-а) название на 3.29. Провести проверка битрикса-списка участников с бухреестром;_x000a_2026-04-28 17:25:35: Екатерина изменил(-а) название на 3.29. Провести проверку битрикса-списка участников с бухреестром;_x000a_2026-04-28 17:25:37: Екатерина изменил(-а) название на 3.29. Провести проверку битрикс-списка участников с бухреестром;_x000a_2026-04-29 11:22:21: Екатерина изменил(-а) дату на 30.08.2026;_x000a_2026-04-29 11:22:26: Екатерина изменил(-а) дату на 30.08.2026 - 01.09.2026;_x000a_2026-04-29 11:22:28: Екатерина изменил(-а) дату на 31.08.2026 - 01.09.2026;_x000a_2026-04-29 11:22:31: Екатерина изменил(-а) дату на 31.08.2026 - 04.09.2026;_x000a_2026-04-29 12:57:11: Екатерина добавил(-а) тег PRO;_x000a_2026-04-29 12:57:15: Екатерина добавил(-а) тег координатор;_x000a_2026-04-29 12:57:15: Екатерина добавил(-а) тег страт-п-с-26-09;_x000a_2026-04-29 15:13:18: Екатерина изменил(-а) название на 3.26. Провести проверку битрикс-списка участников с бухреестром"/>
    <x v="0"/>
    <x v="0"/>
    <x v="0"/>
  </r>
  <r>
    <n v="391"/>
    <s v="ЛИЧНО сентябрь 24.09.2026"/>
    <s v="Дивизион Конференции"/>
    <s v="К работе"/>
    <m/>
    <m/>
    <s v="Екатерина"/>
    <s v="3.25. Провести корректировку сметы проведения в зависимости от продаж"/>
    <s v="24.08.2026 03:00"/>
    <x v="10"/>
    <m/>
    <s v="Действие"/>
    <s v="Низкий"/>
    <s v="N"/>
    <m/>
    <s v="28.04.2026 16:53:06"/>
    <m/>
    <m/>
    <s v="Екатерина"/>
    <m/>
    <m/>
    <s v="N"/>
    <s v="N"/>
    <m/>
    <x v="4"/>
    <m/>
    <s v="2026-04-28 16:53:06: Екатерина создал(-а) задачу;_x000a_2026-04-28 17:25:51: Екатерина изменил(-а) название на 3.28. Провести корректировка сметы проведения в зависимости от продаж;_x000a_2026-04-28 17:25:52: Екатерина изменил(-а) название на 3.28. Провести корректировку сметы проведения в зависимости от продаж;_x000a_2026-04-29 11:22:00: Екатерина изменил(-а) дату на 26.08.2026;_x000a_2026-04-29 11:22:02: Екатерина изменил(-а) дату на 24.08.2026 - 26.08.2026;_x000a_2026-04-29 11:22:05: Екатерина изменил(-а) дату на 24.08.2026 - 27.08.2026;_x000a_2026-04-29 12:57:00: Екатерина добавил(-а) тег PRO;_x000a_2026-04-29 12:57:05: Екатерина добавил(-а) тег координатор;_x000a_2026-04-29 12:57:05: Екатерина добавил(-а) тег страт-п-с-26-09;_x000a_2026-04-29 15:12:49: Екатерина изменил(-а) название на 3.25. Провести корректировку сметы проведения в зависимости от продаж"/>
    <x v="0"/>
    <x v="0"/>
    <x v="0"/>
  </r>
  <r>
    <n v="390"/>
    <s v="ЛИЧНО сентябрь 24.09.2026"/>
    <s v="Дивизион Конференции"/>
    <s v="К работе"/>
    <m/>
    <m/>
    <s v="Екатерина"/>
    <s v="3.24. Подготовить и согласовать памятку участника"/>
    <s v="24.08.2026 03:00"/>
    <x v="10"/>
    <m/>
    <s v="Действие"/>
    <s v="Низкий"/>
    <s v="N"/>
    <m/>
    <s v="28.04.2026 16:52:54"/>
    <m/>
    <m/>
    <s v="Екатерина"/>
    <m/>
    <m/>
    <s v="N"/>
    <s v="N"/>
    <m/>
    <x v="4"/>
    <m/>
    <s v="2026-04-28 16:52:55: Екатерина создал(-а) задачу;_x000a_2026-04-28 17:26:13: Екатерина изменил(-а) название на 3.27. Подготовить и согласована памятка участника;_x000a_2026-04-28 17:26:16: Екатерина изменил(-а) название на 3.27. Подготовить и согласовать памятка участника;_x000a_2026-04-28 17:26:18: Екатерина изменил(-а) название на 3.27. Подготовить и согласовать памятку участника;_x000a_2026-04-29 11:21:18: Екатерина изменил(-а) дату на 23.08.2026;_x000a_2026-04-29 11:21:53: Екатерина изменил(-а) дату на 23.08.2026 - 27.08.2026;_x000a_2026-04-29 11:21:56: Екатерина изменил(-а) дату на 24.08.2026 - 27.08.2026;_x000a_2026-04-29 12:56:53: Екатерина добавил(-а) тег PRO;_x000a_2026-04-29 12:56:55: Екатерина добавил(-а) тег координатор;_x000a_2026-04-29 12:56:56: Екатерина добавил(-а) тег страт-п-с-26-09;_x000a_2026-04-29 15:12:45: Екатерина изменил(-а) название на 3.24. Подготовить и согласовать памятку участника"/>
    <x v="0"/>
    <x v="0"/>
    <x v="0"/>
  </r>
  <r>
    <n v="389"/>
    <s v="ЛИЧНО сентябрь 24.09.2026"/>
    <s v="Дивизион Конференции"/>
    <s v="К работе"/>
    <m/>
    <m/>
    <s v="Екатерина"/>
    <s v="3.23. Провести совещание с продюсером"/>
    <s v="24.08.2026 03:00"/>
    <x v="10"/>
    <m/>
    <s v="Действие"/>
    <s v="Низкий"/>
    <s v="N"/>
    <m/>
    <s v="28.04.2026 16:52:42"/>
    <m/>
    <m/>
    <s v="Екатерина"/>
    <m/>
    <m/>
    <s v="N"/>
    <s v="N"/>
    <m/>
    <x v="4"/>
    <m/>
    <s v="2026-04-28 16:52:43: Екатерина создал(-а) задачу;_x000a_2026-04-28 17:26:30: Екатерина изменил(-а) название на 3.26. Провести совещание с продюсером;_x000a_2026-04-29 11:21:41: Екатерина изменил(-а) дату на 26.08.2026;_x000a_2026-04-29 11:21:44: Екатерина изменил(-а) дату на 24.08.2026 - 26.08.2026;_x000a_2026-04-29 11:21:46: Екатерина изменил(-а) дату на 24.08.2026 - 27.08.2026;_x000a_2026-04-29 12:56:43: Екатерина добавил(-а) тег PRO;_x000a_2026-04-29 12:56:48: Екатерина добавил(-а) тег координатор;_x000a_2026-04-29 12:56:49: Екатерина добавил(-а) тег страт-п-с-26-09;_x000a_2026-04-29 15:12:41: Екатерина изменил(-а) название на 3.23. Провести совещание с продюсером"/>
    <x v="0"/>
    <x v="0"/>
    <x v="0"/>
  </r>
  <r>
    <n v="388"/>
    <s v="ЛИЧНО сентябрь 24.09.2026"/>
    <s v="Дивизион Конференции"/>
    <s v="К работе"/>
    <m/>
    <m/>
    <s v="Екатерина"/>
    <s v="3.22. Провести проверку битрикс-списка участников с бухреестром"/>
    <s v="24.08.2026 03:00"/>
    <x v="10"/>
    <m/>
    <s v="Действие"/>
    <s v="Низкий"/>
    <s v="N"/>
    <m/>
    <s v="28.04.2026 16:52:31"/>
    <m/>
    <m/>
    <s v="Екатерина"/>
    <m/>
    <m/>
    <s v="N"/>
    <s v="N"/>
    <m/>
    <x v="4"/>
    <m/>
    <s v="2026-04-28 16:52:33: Екатерина создал(-а) задачу;_x000a_2026-04-28 17:26:46: Екатерина изменил(-а) название на 3.25. Провести проверка битрикса-списка участников с бухреестром;_x000a_2026-04-28 17:26:52: Екатерина изменил(-а) название на 3.25. Провести проверку битрикса-списка участников с бухреестром;_x000a_2026-04-28 17:26:55: Екатерина изменил(-а) название на 3.25. Провести проверку битрикс-списка участников с бухреестром;_x000a_2026-04-29 11:20:43: Екатерина изменил(-а) дату на 21.08.2026;_x000a_2026-04-29 11:20:53: Екатерина изменил(-а) дату на 21.08.2026 - 25.08.2026;_x000a_2026-04-29 11:21:05: Екатерина изменил(-а) дату на 24.08.2026 - 25.08.2026;_x000a_2026-04-29 11:21:09: Екатерина изменил(-а) дату на 24.08.2026 - 27.08.2026;_x000a_2026-04-29 12:56:33: Екатерина добавил(-а) тег PRO;_x000a_2026-04-29 12:56:39: Екатерина добавил(-а) тег координатор;_x000a_2026-04-29 12:56:40: Екатерина добавил(-а) тег страт-п-с-26-09;_x000a_2026-04-29 15:12:37: Екатерина изменил(-а) название на 3.22. Провести проверку битрикс-списка участников с бухреестром"/>
    <x v="0"/>
    <x v="0"/>
    <x v="0"/>
  </r>
  <r>
    <n v="386"/>
    <s v="ЛИЧНО сентябрь 24.09.2026"/>
    <s v="Дивизион Конференции"/>
    <s v="К работе"/>
    <m/>
    <m/>
    <s v="Екатерина"/>
    <s v="3.21. Поставить задачу дизайнеру на полиграфию, айдентику по смете"/>
    <s v="17.08.2026 03:00"/>
    <x v="11"/>
    <m/>
    <s v="Действие"/>
    <s v="Низкий"/>
    <s v="N"/>
    <m/>
    <s v="28.04.2026 16:52:06"/>
    <m/>
    <m/>
    <s v="Екатерина"/>
    <m/>
    <m/>
    <s v="N"/>
    <s v="N"/>
    <m/>
    <x v="4"/>
    <m/>
    <s v="2026-04-28 16:52:07: Екатерина создал(-а) задачу;_x000a_2026-04-28 17:27:23: Екатерина изменил(-а) название на 3.23. Поставить задача дизайнеру на полиграфию, альдентику по смете;_x000a_2026-04-28 17:27:31: Екатерина изменил(-а) название на 3.23. Поставить задачу дизайнеру на полиграфию, альдентику по смете;_x000a_2026-04-28 17:27:33: Екатерина изменил(-а) название на 3.23. Поставить задачу дизайнеру на полиграфию, айдентику по смете;_x000a_2026-04-29 10:14:08: Екатерина изменил(-а) дату на 20.08.2026;_x000a_2026-04-29 10:14:08: Екатерина изменил(-а) дату на 17.08.2026 - 17.08.2026;_x000a_2026-04-29 10:14:11: Екатерина изменил(-а) дату на 17.08.2026 - 20.08.2026;_x000a_2026-04-29 12:56:11: Екатерина добавил(-а) тег PRO;_x000a_2026-04-29 12:56:16: Екатерина добавил(-а) тег координатор;_x000a_2026-04-29 12:56:20: Екатерина добавил(-а) тег страт-п-с-26-09;_x000a_2026-04-29 15:12:19: Екатерина изменил(-а) название на 3.21. Поставить задачу дизайнеру на полиграфию, айдентику по смете"/>
    <x v="0"/>
    <x v="0"/>
    <x v="0"/>
  </r>
  <r>
    <n v="385"/>
    <s v="ЛИЧНО сентябрь 24.09.2026"/>
    <s v="Дивизион Конференции"/>
    <s v="К работе"/>
    <m/>
    <m/>
    <s v="Екатерина"/>
    <s v="3.20. Провести совещание с продюсером"/>
    <s v="17.08.2026 03:00"/>
    <x v="11"/>
    <m/>
    <s v="Действие"/>
    <s v="Низкий"/>
    <s v="N"/>
    <m/>
    <s v="28.04.2026 16:51:45"/>
    <m/>
    <m/>
    <s v="Екатерина"/>
    <m/>
    <m/>
    <s v="N"/>
    <s v="N"/>
    <m/>
    <x v="4"/>
    <m/>
    <s v="2026-04-28 16:51:46: Екатерина создал(-а) задачу;_x000a_2026-04-28 17:27:47: Екатерина изменил(-а) название на 3.22. Провести совещание продюсером;_x000a_2026-04-28 17:27:49: Екатерина изменил(-а) название на 3.22. Провести совещание с продюсером;_x000a_2026-04-29 10:14:57: Екатерина изменил(-а) дату на 17.08.2026 - 17.08.2026;_x000a_2026-04-29 10:15:00: Екатерина изменил(-а) дату на 17.08.2026 - 20.08.2026;_x000a_2026-04-29 12:56:02: Екатерина добавил(-а) тег PRO;_x000a_2026-04-29 12:56:05: Екатерина добавил(-а) тег координатор;_x000a_2026-04-29 12:56:07: Екатерина добавил(-а) тег страт-п-с-26-09;_x000a_2026-04-29 15:12:15: Екатерина изменил(-а) название на 3.20. Провести совещание с продюсером"/>
    <x v="0"/>
    <x v="0"/>
    <x v="0"/>
  </r>
  <r>
    <n v="384"/>
    <s v="ЛИЧНО сентябрь 24.09.2026"/>
    <s v="Дивизион Конференции"/>
    <s v="К работе"/>
    <m/>
    <m/>
    <s v="Екатерина"/>
    <s v="3.19. Провести проверку битрикс-списка участников с бухреестром"/>
    <s v="17.08.2026 03:00"/>
    <x v="11"/>
    <m/>
    <s v="Действие"/>
    <s v="Низкий"/>
    <s v="N"/>
    <m/>
    <s v="28.04.2026 16:51:33"/>
    <m/>
    <m/>
    <s v="Екатерина"/>
    <m/>
    <m/>
    <s v="N"/>
    <s v="N"/>
    <m/>
    <x v="4"/>
    <m/>
    <s v="2026-04-28 16:51:33: Екатерина создал(-а) задачу;_x000a_2026-04-28 17:27:59: Екатерина изменил(-а) название на 3.21. Провести проверку битрикс-списка участников с бухреестром;_x000a_2026-04-29 10:14:46: Екатерина изменил(-а) дату на 17.08.2026 - 17.08.2026;_x000a_2026-04-29 10:14:48: Екатерина изменил(-а) дату на 17.08.2026 - 20.08.2026;_x000a_2026-04-29 12:55:54: Екатерина добавил(-а) тег PRO;_x000a_2026-04-29 12:55:57: Екатерина добавил(-а) тег координатор;_x000a_2026-04-29 12:55:59: Екатерина добавил(-а) тег страт-п-с-26-09;_x000a_2026-04-29 15:12:11: Екатерина изменил(-а) название на 3.1. Провести проверку битрикс-списка участников с бухреестром;_x000a_2026-04-29 15:12:11: Екатерина изменил(-а) название на 3.19. Провести проверку битрикс-списка участников с бухреестром"/>
    <x v="0"/>
    <x v="0"/>
    <x v="0"/>
  </r>
  <r>
    <n v="382"/>
    <s v="ЛИЧНО сентябрь 24.09.2026"/>
    <s v="Дивизион Конференции"/>
    <s v="К работе"/>
    <m/>
    <m/>
    <s v="Екатерина"/>
    <s v="3.18. Купить билеты всей Рабочей группе"/>
    <s v="10.08.2026 03:00"/>
    <x v="12"/>
    <m/>
    <s v="Действие"/>
    <s v="Низкий"/>
    <s v="N"/>
    <m/>
    <s v="28.04.2026 16:51:09"/>
    <m/>
    <m/>
    <s v="Екатерина"/>
    <m/>
    <m/>
    <s v="N"/>
    <s v="N"/>
    <m/>
    <x v="4"/>
    <m/>
    <s v="2026-04-28 16:51:09: Екатерина создал(-а) задачу;_x000a_2026-04-28 17:08:51: Екатерина изменил(-а) название на 3.19. Купить билеты всей рабочей группе;_x000a_2026-04-28 17:08:58: Екатерина изменил(-а) название на 3.19. Купить билеты всей абочей группе;_x000a_2026-04-28 17:09:08: Екатерина изменил(-а) название на 3.19. Купить билеты всей Рабочей группе;_x000a_2026-04-29 10:13:02: Екатерина изменил(-а) дату на 10.08.2026;_x000a_2026-04-29 10:13:04: Екатерина изменил(-а) дату на 10.08.2026 - 10.08.2026;_x000a_2026-04-29 10:13:06: Екатерина изменил(-а) дату на 10.08.2026 - 13.08.2026;_x000a_2026-04-29 12:55:32: Екатерина добавил(-а) тег PRO;_x000a_2026-04-29 12:55:35: Екатерина добавил(-а) тег координатор;_x000a_2026-04-29 12:55:37: Екатерина добавил(-а) тег страт-п-с-26-09;_x000a_2026-04-29 15:11:54: Екатерина изменил(-а) название на 3.18. Купить билеты всей Рабочей группе"/>
    <x v="0"/>
    <x v="0"/>
    <x v="0"/>
  </r>
  <r>
    <n v="381"/>
    <s v="ЛИЧНО сентябрь 24.09.2026"/>
    <s v="Дивизион Конференции"/>
    <s v="К работе"/>
    <m/>
    <m/>
    <s v="Екатерина"/>
    <s v="3.17. Провести проверку битрикса-списка участников с бухреестром"/>
    <s v="10.08.2026 03:00"/>
    <x v="12"/>
    <m/>
    <s v="Действие"/>
    <s v="Низкий"/>
    <s v="N"/>
    <m/>
    <s v="28.04.2026 16:50:57"/>
    <m/>
    <m/>
    <s v="Екатерина"/>
    <m/>
    <m/>
    <s v="N"/>
    <s v="N"/>
    <m/>
    <x v="4"/>
    <m/>
    <s v="2026-04-28 16:50:57: Екатерина создал(-а) задачу;_x000a_2026-04-28 17:08:28: Екатерина изменил(-а) название на 3.18. Про проверка битрикса-списка участников с бухреестром;_x000a_2026-04-28 17:08:31: Екатерина изменил(-а) название на 3.18. Провести проверка битрикса-списка участников с бухреестром;_x000a_2026-04-28 17:08:33: Екатерина изменил(-а) название на 3.18. Провести проверку битрикса-списка участников с бухреестром;_x000a_2026-04-29 10:12:43: Екатерина изменил(-а) дату на 10.08.2026 - 10.08.2026;_x000a_2026-04-29 10:12:47: Екатерина изменил(-а) дату на 10.08.2026 - 13.08.2026;_x000a_2026-04-29 12:55:14: Екатерина добавил(-а) тег PRO;_x000a_2026-04-29 12:55:18: Екатерина добавил(-а) тег координатор;_x000a_2026-04-29 12:55:21: Екатерина добавил(-а) тег страт-п-с-26-09;_x000a_2026-04-29 15:11:49: Екатерина изменил(-а) название на 3.17. Провести проверку битрикса-списка участников с бухреестром"/>
    <x v="0"/>
    <x v="0"/>
    <x v="0"/>
  </r>
  <r>
    <n v="379"/>
    <s v="ЛИЧНО сентябрь 24.09.2026"/>
    <s v="Дивизион Конференции"/>
    <s v="К работе"/>
    <m/>
    <m/>
    <s v="Екатерина"/>
    <s v="3.16. Провести совещание с продюсером"/>
    <s v="03.08.2026 03:00"/>
    <x v="13"/>
    <m/>
    <s v="Действие"/>
    <s v="Низкий"/>
    <s v="N"/>
    <m/>
    <s v="28.04.2026 16:50:34"/>
    <m/>
    <m/>
    <s v="Екатерина"/>
    <m/>
    <m/>
    <s v="N"/>
    <s v="N"/>
    <m/>
    <x v="4"/>
    <m/>
    <s v="2026-04-28 16:50:34: Екатерина создал(-а) задачу;_x000a_2026-04-28 17:08:02: Екатерина изменил(-а) название на 3.16. Провести совещание с продюсером;_x000a_2026-04-29 10:11:37: Екатерина изменил(-а) дату на 03.08.2026;_x000a_2026-04-29 10:11:42: Екатерина изменил(-а) дату на 03.08.2026 - 03.08.2026;_x000a_2026-04-29 10:11:45: Екатерина изменил(-а) дату на 03.08.2026 - 06.08.2026;_x000a_2026-04-29 12:54:54: Екатерина добавил(-а) тег PRO;_x000a_2026-04-29 12:54:59: Екатерина добавил(-а) тег координатор;_x000a_2026-04-29 12:55:01: Екатерина добавил(-а) тег страт-п-с-26-09"/>
    <x v="0"/>
    <x v="0"/>
    <x v="0"/>
  </r>
  <r>
    <n v="378"/>
    <s v="ЛИЧНО сентябрь 24.09.2026"/>
    <s v="Дивизион Конференции"/>
    <s v="К работе"/>
    <m/>
    <m/>
    <s v="Екатерина"/>
    <s v="3.15. Провести проверку битрикс-списка участников с бухреестром"/>
    <s v="03.08.2026 03:00"/>
    <x v="13"/>
    <m/>
    <s v="Действие"/>
    <s v="Низкий"/>
    <s v="N"/>
    <m/>
    <s v="28.04.2026 16:50:26"/>
    <m/>
    <m/>
    <s v="Екатерина"/>
    <m/>
    <m/>
    <s v="N"/>
    <s v="N"/>
    <m/>
    <x v="4"/>
    <m/>
    <s v="2026-04-28 16:50:26: Екатерина создал(-а) задачу;_x000a_2026-04-28 17:07:27: Екатерина изменил(-а) название на 3.15. Провести проверка битрикса-списка участников с бухреестром;_x000a_2026-04-28 17:07:36: Екатерина изменил(-а) название на 3.15. Провести проверку битрикса-списка участников с бухреестром;_x000a_2026-04-28 17:07:39: Екатерина изменил(-а) название на 3.15. Провести проверку битрикс-списка участников с бухреестром;_x000a_2026-04-29 10:11:20: Екатерина изменил(-а) дату на 03.08.2026;_x000a_2026-04-29 10:11:22: Екатерина изменил(-а) дату на 03.08.2026 - 03.08.2026;_x000a_2026-04-29 10:11:23: Екатерина изменил(-а) дату на 03.08.2026 - 06.08.2026;_x000a_2026-04-29 12:54:47: Екатерина добавил(-а) тег PRO;_x000a_2026-04-29 12:54:50: Екатерина добавил(-а) тег координатор;_x000a_2026-04-29 12:54:51: Екатерина добавил(-а) тег страт-п-с-26-09"/>
    <x v="0"/>
    <x v="0"/>
    <x v="0"/>
  </r>
  <r>
    <n v="377"/>
    <s v="ЛИЧНО сентябрь 24.09.2026"/>
    <s v="Дивизион Конференции"/>
    <s v="К работе"/>
    <m/>
    <m/>
    <s v="Екатерина"/>
    <s v="3.14. Купить билеты части Рабочей группы"/>
    <s v="27.07.2026 03:00"/>
    <x v="14"/>
    <m/>
    <s v="Действие"/>
    <s v="Низкий"/>
    <s v="N"/>
    <m/>
    <s v="28.04.2026 16:50:19"/>
    <m/>
    <m/>
    <s v="Екатерина"/>
    <m/>
    <m/>
    <s v="N"/>
    <s v="N"/>
    <m/>
    <x v="4"/>
    <m/>
    <s v="2026-04-28 16:50:19: Екатерина создал(-а) задачу;_x000a_2026-04-28 17:07:00: Екатерина изменил(-а) название на 3.14. Купить билеты части рабочей группе;_x000a_2026-04-28 17:07:14: Екатерина изменил(-а) название на 3.14. Купить билеты части рабочей группы;_x000a_2026-04-28 17:07:20: Екатерина изменил(-а) название на 3.14. Купить билеты части Рабочей группы;_x000a_2026-04-29 10:10:59: Екатерина изменил(-а) дату на 27.07.2026 - 27.07.2026;_x000a_2026-04-29 10:11:01: Екатерина изменил(-а) дату на 27.07.2026 - 30.07.2026;_x000a_2026-04-29 12:54:40: Екатерина добавил(-а) тег PRO;_x000a_2026-04-29 12:54:42: Екатерина добавил(-а) тег координатор;_x000a_2026-04-29 12:54:44: Екатерина добавил(-а) тег страт-п-с-26-09"/>
    <x v="0"/>
    <x v="0"/>
    <x v="0"/>
  </r>
  <r>
    <n v="376"/>
    <s v="ЛИЧНО сентябрь 24.09.2026"/>
    <s v="Дивизион Конференции"/>
    <s v="К работе"/>
    <m/>
    <m/>
    <s v="Екатерина"/>
    <s v="3.13. Проверить заполнение битрикса на старте продаж"/>
    <s v="27.07.2026 03:00"/>
    <x v="14"/>
    <m/>
    <s v="Действие"/>
    <s v="Низкий"/>
    <s v="N"/>
    <m/>
    <s v="28.04.2026 16:50:08"/>
    <m/>
    <m/>
    <s v="Екатерина"/>
    <m/>
    <m/>
    <s v="N"/>
    <s v="N"/>
    <m/>
    <x v="4"/>
    <m/>
    <s v="2026-04-28 16:50:09: Екатерина создал(-а) задачу;_x000a_2026-04-28 17:06:44: Екатерина изменил(-а) название на 3.13. Проверить заполнения битрикса на старте продаж;_x000a_2026-04-28 17:06:47: Екатерина изменил(-а) название на 3.13. Проверить заполнение битрикса на старте продаж;_x000a_2026-04-29 10:10:37: Екатерина изменил(-а) дату на 27.07.2026;_x000a_2026-04-29 10:10:46: Екатерина изменил(-а) дату на 27.07.2026 - 27.07.2026;_x000a_2026-04-29 10:10:46: Екатерина изменил(-а) дату на 27.07.2026 - 30.07.2026;_x000a_2026-04-29 11:10:31: Екатерина добавил(-а) тег PRO;_x000a_2026-04-29 12:54:35: Екатерина добавил(-а) тег координатор;_x000a_2026-04-29 12:54:36: Екатерина добавил(-а) тег страт-п-с-26-09"/>
    <x v="0"/>
    <x v="0"/>
    <x v="0"/>
  </r>
  <r>
    <n v="375"/>
    <s v="ЛИЧНО сентябрь 24.09.2026"/>
    <s v="Дивизион Конференции"/>
    <s v="К работе"/>
    <m/>
    <m/>
    <s v="Екатерина"/>
    <s v="3.12. Забронировать проживание"/>
    <s v="22.06.2026 03:00"/>
    <x v="15"/>
    <m/>
    <s v="Действие"/>
    <s v="Низкий"/>
    <s v="N"/>
    <m/>
    <s v="28.04.2026 16:49:55"/>
    <m/>
    <m/>
    <s v="Екатерина"/>
    <m/>
    <m/>
    <s v="N"/>
    <s v="N"/>
    <m/>
    <x v="5"/>
    <m/>
    <s v="2026-04-28 16:49:56: Екатерина создал(-а) задачу;_x000a_2026-04-28 17:06:20: Екатерина изменил(-а) название на 3.12. Забронировать проживание;_x000a_2026-04-29 10:10:12: Екатерина изменил(-а) дату на 22.06.2026 - 22.06.2026;_x000a_2026-04-29 10:10:14: Екатерина изменил(-а) дату на 22.06.2026 - 25.06.2026;_x000a_2026-04-29 12:54:20: Екатерина добавил(-а) тег PRE;_x000a_2026-04-29 12:54:23: Екатерина добавил(-а) тег координатор;_x000a_2026-04-29 12:54:25: Екатерина добавил(-а) тег страт-п-с-26-09"/>
    <x v="0"/>
    <x v="0"/>
    <x v="0"/>
  </r>
  <r>
    <n v="374"/>
    <s v="ЛИЧНО сентябрь 24.09.2026"/>
    <s v="Дивизион Конференции"/>
    <s v="К работе"/>
    <m/>
    <m/>
    <s v="Екатерина"/>
    <s v="3.11. Провести совещание с продюсером"/>
    <s v="22.06.2026 03:00"/>
    <x v="15"/>
    <m/>
    <s v="Действие"/>
    <s v="Низкий"/>
    <s v="N"/>
    <m/>
    <s v="28.04.2026 16:49:44"/>
    <m/>
    <m/>
    <s v="Екатерина"/>
    <m/>
    <m/>
    <s v="N"/>
    <s v="N"/>
    <m/>
    <x v="5"/>
    <m/>
    <s v="2026-04-28 16:49:44: Екатерина создал(-а) задачу;_x000a_2026-04-28 17:06:03: Екатерина изменил(-а) название на 3.11. Прове совещание с продюсером;_x000a_2026-04-28 17:06:04: Екатерина изменил(-а) название на 3.11. Провести совещание с продюсером;_x000a_2026-04-29 10:09:53: Екатерина изменил(-а) дату на 22.06.2026;_x000a_2026-04-29 10:09:55: Екатерина изменил(-а) дату на 22.06.2026 - 22.06.2026;_x000a_2026-04-29 10:09:56: Екатерина изменил(-а) дату на 22.06.2026 - 25.06.2026;_x000a_2026-04-29 12:54:13: Екатерина добавил(-а) тег PRE;_x000a_2026-04-29 12:54:16: Екатерина добавил(-а) тег координатор;_x000a_2026-04-29 12:54:17: Екатерина добавил(-а) тег страт-п-с-26-09"/>
    <x v="0"/>
    <x v="0"/>
    <x v="0"/>
  </r>
  <r>
    <n v="373"/>
    <s v="ЛИЧНО сентябрь 24.09.2026"/>
    <s v="Дивизион Конференции"/>
    <s v="К работе"/>
    <m/>
    <m/>
    <s v="Екатерина"/>
    <s v="3.10. Согласовать с ШП Рабочую группу на площадке и Смету расходов"/>
    <s v="15.06.2026 03:00"/>
    <x v="16"/>
    <m/>
    <s v="Действие"/>
    <s v="Низкий"/>
    <s v="N"/>
    <m/>
    <s v="28.04.2026 16:49:31"/>
    <m/>
    <m/>
    <s v="Екатерина"/>
    <m/>
    <m/>
    <s v="N"/>
    <s v="N"/>
    <m/>
    <x v="5"/>
    <m/>
    <s v="2026-04-28 16:49:32: Екатерина создал(-а) задачу;_x000a_2026-04-29 10:09:35: Екатерина изменил(-а) дату на 15.06.2026;_x000a_2026-04-29 10:09:38: Екатерина изменил(-а) дату на 15.06.2026 - 15.06.2026;_x000a_2026-04-29 10:09:38: Екатерина изменил(-а) дату на 15.06.2026 - 18.06.2026;_x000a_2026-04-29 12:54:08: Екатерина добавил(-а) тег PRE;_x000a_2026-04-29 12:54:09: Екатерина добавил(-а) тег координатор;_x000a_2026-04-29 12:54:11: Екатерина добавил(-а) тег страт-п-с-26-09"/>
    <x v="0"/>
    <x v="0"/>
    <x v="0"/>
  </r>
  <r>
    <n v="372"/>
    <s v="ЛИЧНО сентябрь 24.09.2026"/>
    <s v="Дивизион Конференции"/>
    <s v="К работе"/>
    <m/>
    <m/>
    <s v="Екатерина"/>
    <s v="3.09. Составить Рабочую группу на мероприятие: _x000a_Кто едет_x000a_как едет_x000a_где живет"/>
    <s v="08.06.2026 03:00"/>
    <x v="17"/>
    <m/>
    <s v="Действие"/>
    <s v="Низкий"/>
    <s v="N"/>
    <m/>
    <s v="28.04.2026 16:48:26"/>
    <m/>
    <m/>
    <s v="Екатерина"/>
    <m/>
    <m/>
    <s v="N"/>
    <s v="N"/>
    <m/>
    <x v="5"/>
    <m/>
    <s v="2026-04-28 16:48:27: Екатерина создал(-а) задачу;_x000a_2026-04-28 17:11:28: Екатерина изменил(-а) название на 3.09. Составлена рабочая группа на мероприятие: _x000a_Кто едет_x000a_как едет_x000a_где живет;_x000a_2026-04-28 17:11:41: Екатерина изменил(-а) название на 3.09. Составитьа рабочая группа на мероприятие: _x000a_Кто едет_x000a_как едет_x000a_где живет;_x000a_2026-04-28 17:11:45: Екатерина изменил(-а) название на 3.09. Составить рабочая группа на мероприятие: _x000a_Кто едет_x000a_как едет_x000a_где живет;_x000a_2026-04-28 17:11:47: Екатерина изменил(-а) название на 3.09. Составить Рабочая группа на мероприятие: _x000a_Кто едет_x000a_как едет_x000a_где живет;_x000a_2026-04-28 17:11:56: Екатерина изменил(-а) название на 3.09. Составить Рабочую группа на мероприятие: _x000a_Кто едет_x000a_как едет_x000a_где живет;_x000a_2026-04-28 17:11:57: Екатерина изменил(-а) название на 3.09. Составить Рабочую группу на мероприятие: _x000a_Кто едет_x000a_как едет_x000a_где живет;_x000a_2026-04-29 10:08:36: Екатерина изменил(-а) дату на 08.06.2026;_x000a_2026-04-29 10:08:39: Екатерина изменил(-а) дату на 08.06.2026 - 08.06.2026;_x000a_2026-04-29 10:08:39: Екатерина изменил(-а) дату на 08.06.2026 - 11.06.2026;_x000a_2026-04-29 12:54:00: Екатерина добавил(-а) тег PRE;_x000a_2026-04-29 12:54:03: Екатерина добавил(-а) тег координатор;_x000a_2026-04-29 12:54:04: Екатерина добавил(-а) тег страт-п-с-26-09"/>
    <x v="0"/>
    <x v="0"/>
    <x v="0"/>
  </r>
  <r>
    <n v="371"/>
    <s v="ЛИЧНО сентябрь 24.09.2026"/>
    <s v="Дивизион Конференции"/>
    <s v="К работе"/>
    <m/>
    <m/>
    <s v="Екатерина"/>
    <s v="3.08. Настроить и проверить  воронку в битриксе"/>
    <s v="08.06.2026 03:00"/>
    <x v="17"/>
    <m/>
    <s v="Действие"/>
    <s v="Низкий"/>
    <s v="N"/>
    <m/>
    <s v="28.04.2026 16:48:24"/>
    <m/>
    <m/>
    <s v="Екатерина"/>
    <m/>
    <m/>
    <s v="N"/>
    <s v="N"/>
    <m/>
    <x v="5"/>
    <m/>
    <s v="2026-04-28 16:48:25: Екатерина создал(-а) задачу;_x000a_2026-04-28 17:12:08: Екатерина изменил(-а) название на 3.08. Настроена и проверена воронка в битриксе;_x000a_2026-04-28 17:12:12: Екатерина изменил(-а) название на 3.08. Настроить и проверена воронка в битриксе;_x000a_2026-04-28 17:12:15: Екатерина изменил(-а) название на 3.08. Настроить и проверить воронка в битриксе;_x000a_2026-04-28 17:12:18: Екатерина изменил(-а) название на 3.08. Настроить и проверить воронку в битриксе;_x000a_2026-04-29 10:08:16: Екатерина изменил(-а) дату на 08.06.2026;_x000a_2026-04-29 10:08:19: Екатерина изменил(-а) дату на 08.06.2026 - 08.06.2026;_x000a_2026-04-29 10:08:20: Екатерина изменил(-а) дату на 08.06.2026 - 11.06.2026;_x000a_2026-04-29 12:53:53: Екатерина добавил(-а) тег PRE;_x000a_2026-04-29 12:53:55: Екатерина добавил(-а) тег координатор;_x000a_2026-04-29 12:53:57: Екатерина добавил(-а) тег страт-п-с-26-09"/>
    <x v="0"/>
    <x v="0"/>
    <x v="0"/>
  </r>
  <r>
    <n v="370"/>
    <s v="ЛИЧНО сентябрь 24.09.2026"/>
    <s v="Дивизион Конференции"/>
    <s v="К работе"/>
    <m/>
    <m/>
    <s v="Екатерина"/>
    <s v="3.07. Провести совещание с продюсером"/>
    <s v="01.06.2026 03:00"/>
    <x v="1"/>
    <m/>
    <s v="Действие"/>
    <s v="Низкий"/>
    <s v="N"/>
    <m/>
    <s v="28.04.2026 16:48:06"/>
    <m/>
    <m/>
    <s v="Екатерина"/>
    <m/>
    <m/>
    <s v="N"/>
    <s v="N"/>
    <m/>
    <x v="5"/>
    <m/>
    <s v="2026-04-28 16:48:07: Екатерина создал(-а) задачу;_x000a_2026-04-28 17:12:33: Екатерина изменил(-а) название на 3.07. Проведено совещание с продюсером;_x000a_2026-04-28 17:12:36: Екатерина изменил(-а) название на 3.07. Провести совещание с продюсером;_x000a_2026-04-29 10:07:58: Екатерина изменил(-а) дату на 01.06.2026;_x000a_2026-04-29 10:07:59: Екатерина изменил(-а) дату на 01.06.2026 - 01.06.2026;_x000a_2026-04-29 10:08:00: Екатерина изменил(-а) дату на 01.06.2026 - 04.06.2026;_x000a_2026-04-29 12:53:45: Екатерина добавил(-а) тег PRE;_x000a_2026-04-29 12:53:48: Екатерина добавил(-а) тег координатор;_x000a_2026-04-29 12:53:49: Екатерина добавил(-а) тег страт-п-с-26-09"/>
    <x v="0"/>
    <x v="0"/>
    <x v="0"/>
  </r>
  <r>
    <n v="369"/>
    <s v="ЛИЧНО сентябрь 24.09.2026"/>
    <s v="Дивизион Конференции"/>
    <s v="К работе"/>
    <m/>
    <m/>
    <s v="Екатерина"/>
    <s v="3.06. Провести работу с площадкой: отрисовка, оборудование, питание, проживание (если гостиница)"/>
    <s v="01.06.2026 03:00"/>
    <x v="1"/>
    <m/>
    <s v="Действие"/>
    <s v="Низкий"/>
    <s v="N"/>
    <m/>
    <s v="28.04.2026 16:48:00"/>
    <m/>
    <m/>
    <s v="Екатерина"/>
    <m/>
    <m/>
    <s v="N"/>
    <s v="N"/>
    <m/>
    <x v="5"/>
    <m/>
    <s v="2026-04-28 16:48:00: Екатерина создал(-а) задачу;_x000a_2026-04-28 17:18:00: Екатерина изменил(-а) название на 3.06. Проведена работа с площадкой: отрисовка, оборудование, питание, проживание (если гостиница);_x000a_2026-04-29 10:07:42: Екатерина изменил(-а) дату на 01.06.2026;_x000a_2026-04-29 10:07:45: Екатерина изменил(-а) дату на 01.06.2026 - 01.06.2026;_x000a_2026-04-29 10:07:47: Екатерина изменил(-а) дату на 01.06.2026 - 04.06.2026;_x000a_2026-04-29 10:34:46: Екатерина изменил(-а) название на 3.06. Провести работа с площадкой: отрисовка, оборудование, питание, проживание (если гостиница);_x000a_2026-04-29 10:34:48: Екатерина изменил(-а) название на 3.06. Провести работу с площадкой: отрисовка, оборудование, питание, проживание (если гостиница);_x000a_2026-04-29 12:53:34: Екатерина добавил(-а) тег PRE;_x000a_2026-04-29 12:53:37: Екатерина добавил(-а) тег координатор;_x000a_2026-04-29 12:53:39: Екатерина добавил(-а) тег страт-п-с-26-09"/>
    <x v="0"/>
    <x v="0"/>
    <x v="0"/>
  </r>
  <r>
    <n v="368"/>
    <s v="ЛИЧНО сентябрь 24.09.2026"/>
    <s v="Дивизион Конференции"/>
    <s v="К работе"/>
    <m/>
    <m/>
    <s v="Екатерина"/>
    <s v="3.05. Утвердить площадку и смету"/>
    <s v="01.06.2026 03:00"/>
    <x v="1"/>
    <m/>
    <s v="Действие"/>
    <s v="Низкий"/>
    <s v="N"/>
    <m/>
    <s v="28.04.2026 16:47:54"/>
    <m/>
    <m/>
    <s v="Екатерина"/>
    <m/>
    <m/>
    <s v="N"/>
    <s v="N"/>
    <m/>
    <x v="5"/>
    <m/>
    <s v="2026-04-28 16:47:54: Екатерина создал(-а) задачу;_x000a_2026-04-28 17:17:32: Екатерина изменил(-а) название на 3.0-5. Площадка и смета утверждена;_x000a_2026-04-28 17:17:39: Екатерина изменил(-а) название на 3.05. Площадка и смета утверждена;_x000a_2026-04-29 10:07:03: Екатерина изменил(-а) дату на 01.06.2026;_x000a_2026-04-29 10:07:05: Екатерина изменил(-а) дату на 01.06.2026 - 01.06.2026;_x000a_2026-04-29 10:07:06: Екатерина изменил(-а) дату на 01.06.2026 - 04.06.2026;_x000a_2026-04-29 10:34:05: Екатерина изменил(-а) название на 3.05. УтверПлощадка и смета утверждена;_x000a_2026-04-29 10:34:07: Екатерина изменил(-а) название на 3.05. Утвердить Площадка и смета утверждена;_x000a_2026-04-29 10:34:09: Екатерина изменил(-а) название на 3.05. Утвердить площадка и смета утверждена;_x000a_2026-04-29 10:34:11: Екатерина изменил(-а) название на 3.05. Утвердить площадку и смета утверждена;_x000a_2026-04-29 10:34:13: Екатерина изменил(-а) название на 3.05. Утвердить площадку и смету утверждена;_x000a_2026-04-29 10:34:16: Екатерина изменил(-а) название на 3.05. Утвердить площадку и смету;_x000a_2026-04-29 12:53:26: Екатерина добавил(-а) тег PRE;_x000a_2026-04-29 12:53:28: Екатерина добавил(-а) тег координатор;_x000a_2026-04-29 12:53:30: Екатерина добавил(-а) тег страт-п-с-26-09"/>
    <x v="0"/>
    <x v="0"/>
    <x v="0"/>
  </r>
  <r>
    <n v="367"/>
    <s v="ЛИЧНО сентябрь 24.09.2026"/>
    <s v="Дивизион Конференции"/>
    <s v="К работе"/>
    <m/>
    <m/>
    <s v="Екатерина"/>
    <s v="3.04. Проверить пакеты на возможность реализации на площадке"/>
    <s v="25.05.2026 03:00"/>
    <x v="18"/>
    <m/>
    <s v="Действие"/>
    <s v="Низкий"/>
    <s v="N"/>
    <m/>
    <s v="28.04.2026 16:47:38"/>
    <m/>
    <m/>
    <s v="Екатерина"/>
    <m/>
    <m/>
    <s v="N"/>
    <s v="N"/>
    <m/>
    <x v="5"/>
    <m/>
    <s v="2026-04-28 16:47:38: Екатерина создал(-а) задачу;_x000a_2026-04-28 17:19:50: Екатерина изменил(-а) название на 3.04. Проверка пакетов на возможность реализации на площадке;_x000a_2026-04-28 17:21:06: Екатерина изменил(-а) название на 3.04. Проверить пакетов на возможность реализации на площадке;_x000a_2026-04-28 17:21:10: Екатерина изменил(-а) название на 3.04. Проверить пакеты на возможность реализации на площадке;_x000a_2026-04-29 10:06:51: Екатерина изменил(-а) дату на 25.05.2026 - 25.05.2026;_x000a_2026-04-29 10:06:52: Екатерина изменил(-а) дату на 25.05.2026 - 28.05.2026;_x000a_2026-04-29 12:53:14: Екатерина добавил(-а) тег PRE;_x000a_2026-04-29 12:53:19: Екатерина добавил(-а) тег координатор;_x000a_2026-04-29 12:53:21: Екатерина добавил(-а) тег страт-п-с-26-09"/>
    <x v="0"/>
    <x v="0"/>
    <x v="0"/>
  </r>
  <r>
    <n v="366"/>
    <s v="ЛИЧНО сентябрь 24.09.2026"/>
    <s v="Дивизион Конференции"/>
    <s v="К работе"/>
    <m/>
    <m/>
    <s v="Екатерина"/>
    <s v="3.03. Сформировать смету прямых расходов - сделать предварительный расчет стоимости мероприятия"/>
    <s v="25.05.2026 03:00"/>
    <x v="18"/>
    <m/>
    <s v="Действие"/>
    <s v="Низкий"/>
    <s v="N"/>
    <m/>
    <s v="28.04.2026 16:47:36"/>
    <m/>
    <m/>
    <s v="Екатерина"/>
    <m/>
    <m/>
    <s v="N"/>
    <s v="N"/>
    <m/>
    <x v="5"/>
    <m/>
    <s v="2026-04-28 16:47:36: Екатерина создал(-а) задачу;_x000a_2026-04-28 17:19:36: Екатерина изменил(-а) название на 3.03. Сформирована смета прямых расходов - сделан предварительный расчет стоимости мероприятия;_x000a_2026-04-28 17:25:00: Екатерина изменил(-а) название на 3.03. Сформировать смета прямых расходов - сделан предварительный расчет стоимости мероприятия;_x000a_2026-04-28 17:25:08: Екатерина изменил(-а) название на 3.03. Сформировать смету прямых расходов - сделан предварительный расчет стоимости мероприятия;_x000a_2026-04-28 17:25:10: Екатерина изменил(-а) название на 3.03. Сформировать смету прямых расходов - сделать предварительный расчет стоимости мероприятия;_x000a_2026-04-29 10:06:39: Екатерина изменил(-а) дату на 25.05.2026;_x000a_2026-04-29 10:06:42: Екатерина изменил(-а) дату на 25.05.2026 - 25.05.2026;_x000a_2026-04-29 10:06:43: Екатерина изменил(-а) дату на 25.05.2026 - 28.05.2026;_x000a_2026-04-29 12:53:04: Екатерина добавил(-а) тег PRE;_x000a_2026-04-29 12:53:07: Екатерина добавил(-а) тег координатор;_x000a_2026-04-29 12:53:10: Екатерина добавил(-а) тег страт-п-с-26-09"/>
    <x v="0"/>
    <x v="0"/>
    <x v="0"/>
  </r>
  <r>
    <n v="365"/>
    <s v="ЛИЧНО сентябрь 24.09.2026"/>
    <s v="Дивизион Конференции"/>
    <s v="К работе"/>
    <m/>
    <m/>
    <s v="Екатерина"/>
    <s v="3.02. Подготовить таблицу возможных мест проведения, составить предварительную смету площадки"/>
    <s v="25.05.2026 03:00"/>
    <x v="18"/>
    <m/>
    <s v="Действие"/>
    <s v="Низкий"/>
    <s v="N"/>
    <m/>
    <s v="28.04.2026 16:47:27"/>
    <m/>
    <m/>
    <s v="Екатерина"/>
    <m/>
    <m/>
    <s v="N"/>
    <s v="N"/>
    <m/>
    <x v="5"/>
    <m/>
    <s v="2026-04-28 16:47:27: Екатерина создал(-а) задачу;_x000a_2026-04-28 17:10:28: Екатерина изменил(-а) название на 3.02. Подготовлена таблица возможных мест проведения, составлена предварительная смета площадки;_x000a_2026-04-29 10:06:25: Екатерина изменил(-а) дату на 25.05.2026;_x000a_2026-04-29 10:06:26: Екатерина изменил(-а) дату на 25.05.2026 - 25.05.2026;_x000a_2026-04-29 10:06:29: Екатерина изменил(-а) дату на 25.05.2026 - 28.05.2026;_x000a_2026-04-29 10:33:41: Екатерина изменил(-а) название на 3.02. Подготовить таблица возможных мест проведения, составлена предварительная смета площадки;_x000a_2026-04-29 10:33:44: Екатерина изменил(-а) название на 3.02. Подготовить таблицц возможных мест проведения, составлена предварительная смета площадки;_x000a_2026-04-29 10:33:45: Екатерина изменил(-а) название на 3.02. Подготовить таблицу возможных мест проведения, составлена предварительная смета площадки;_x000a_2026-04-29 10:33:50: Екатерина изменил(-а) название на 3.02. Подготовить таблицу возможных мест проведения, составить предварительная смета площадки;_x000a_2026-04-29 10:33:53: Екатерина изменил(-а) название на 3.02. Подготовить таблицу возможных мест проведения, составить предварительную смета площадки;_x000a_2026-04-29 10:33:56: Екатерина изменил(-а) название на 3.02. Подготовить таблицу возможных мест проведения, составить предварительную смету площадки;_x000a_2026-04-29 12:52:52: Екатерина добавил(-а) тег PRE;_x000a_2026-04-29 12:52:57: Екатерина добавил(-а) тег координатор;_x000a_2026-04-29 12:52:59: Екатерина добавил(-а) тег страт-п-с-26-09"/>
    <x v="0"/>
    <x v="0"/>
    <x v="0"/>
  </r>
  <r>
    <n v="364"/>
    <s v="ЛИЧНО сентябрь 24.09.2026"/>
    <s v="Дивизион Конференции"/>
    <s v="К работе"/>
    <m/>
    <m/>
    <s v="Екатерина"/>
    <s v="3.01. Получить вводные на Первичном совещании"/>
    <s v="18.05.2026 03:00"/>
    <x v="3"/>
    <m/>
    <s v="Действие"/>
    <s v="Низкий"/>
    <s v="N"/>
    <m/>
    <s v="28.04.2026 16:46:48"/>
    <m/>
    <m/>
    <s v="Екатерина"/>
    <m/>
    <m/>
    <s v="N"/>
    <s v="N"/>
    <m/>
    <x v="5"/>
    <m/>
    <s v="2026-04-28 16:46:49: Екатерина создал(-а) задачу;_x000a_2026-04-28 17:16:49: Екатерина изменил(-а) название на 3.01. Получить вводные на Первичном совещании;_x000a_2026-04-28 19:28:25: Екатерина добавил(-а) тег PRE;_x000a_2026-04-29 09:59:46: Екатерина добавил(-а) тег координатор;_x000a_2026-04-29 09:59:57: Екатерина добавил(-а) тег страт-п-с-26-09;_x000a_2026-04-29 10:01:54: Екатерина изменил(-а) дату на 18.05.2026;_x000a_2026-04-29 10:01:57: Екатерина изменил(-а) дату на 21.05.2026;_x000a_2026-04-29 10:01:58: Екатерина изменил(-а) дату на 18.05.2026;_x000a_2026-04-29 10:02:00: Екатерина изменил(-а) дату на 18.05.2026 - 18.05.2026;_x000a_2026-04-29 10:02:01: Екатерина изменил(-а) дату на 18.05.2026 - 21.05.2026;_x000a_2026-04-29 10:02:06: Екатерина изменил(-а) дату на 21.05.2026 - 21.05.2026;_x000a_2026-04-29 10:02:13: Екатерина изменил(-а) дату на 18.05.2026 - 21.05.2026;_x000a_2026-04-29 10:07:15: Екатерина изменил(-а) дату на 19.05.2026 - 21.05.2026;_x000a_2026-04-29 10:07:21: Екатерина изменил(-а) дату на 18.05.2026 - 21.05.2026;_x000a_2026-04-29 10:07:24: Екатерина изменил(-а) дату на 18.05.2026 - 19.05.2026"/>
    <x v="0"/>
    <x v="0"/>
    <x v="0"/>
  </r>
  <r>
    <n v="362"/>
    <s v="ЛИЧНО сентябрь 24.09.2026"/>
    <s v="Дивизион Конференции"/>
    <s v="К работе"/>
    <m/>
    <m/>
    <s v="Екатерина"/>
    <s v="2.60. Подготовить отчет для Заказчика"/>
    <s v="28.09.2026 03:00"/>
    <x v="0"/>
    <m/>
    <s v="Действие"/>
    <s v="Низкий"/>
    <s v="N"/>
    <m/>
    <s v="28.04.2026 16:25:18"/>
    <m/>
    <m/>
    <s v="Екатерина"/>
    <m/>
    <m/>
    <s v="N"/>
    <s v="N"/>
    <m/>
    <x v="6"/>
    <m/>
    <s v="2026-04-28 16:25:18: Екатерина создал(-а) задачу;_x000a_2026-04-28 19:28:10: Екатерина добавил(-а) тег POST;_x000a_2026-04-29 10:18:52: Екатерина изменил(-а) дату на 28.09.2026 - 28.09.2026;_x000a_2026-04-29 10:18:54: Екатерина изменил(-а) дату на 28.09.2026 - 01.10.2026;_x000a_2026-04-29 11:09:35: Екатерина добавил(-а) тег страт-п-с-26-09;_x000a_2026-04-29 11:09:35: Екатерина добавил(-а) тег Продюсер;_x000a_2026-04-30 14:54:54: Екатерина убрал(-а) тег страт-п-с-26-09;_x000a_2026-04-30 14:55:02: Екатерина добавил(-а) тег страт-п-с-26-09"/>
    <x v="0"/>
    <x v="3"/>
    <x v="3"/>
  </r>
  <r>
    <n v="361"/>
    <s v="ЛИЧНО сентябрь 24.09.2026"/>
    <s v="Дивизион Конференции"/>
    <s v="К работе"/>
    <m/>
    <m/>
    <s v="Екатерина"/>
    <s v="2.59. Провести итоговое совещание по проекту"/>
    <s v="28.09.2026 03:00"/>
    <x v="0"/>
    <m/>
    <s v="Действие"/>
    <s v="Низкий"/>
    <s v="N"/>
    <m/>
    <s v="28.04.2026 16:25:09"/>
    <m/>
    <m/>
    <s v="Екатерина"/>
    <m/>
    <m/>
    <s v="N"/>
    <s v="N"/>
    <m/>
    <x v="6"/>
    <m/>
    <s v="2026-04-28 16:25:09: Екатерина создал(-а) задачу;_x000a_2026-04-28 19:28:07: Екатерина добавил(-а) тег POST;_x000a_2026-04-29 10:18:40: Екатерина изменил(-а) дату на 28.09.2026 - 28.09.2026;_x000a_2026-04-29 10:18:42: Екатерина изменил(-а) дату на 28.09.2026 - 01.10.2026;_x000a_2026-04-29 11:09:29: Екатерина добавил(-а) тег страт-п-с-26-09;_x000a_2026-04-29 11:09:30: Екатерина добавил(-а) тег Продюсер;_x000a_2026-04-30 14:54:43: Екатерина убрал(-а) тег страт-п-с-26-09;_x000a_2026-04-30 14:54:46: Екатерина добавил(-а) тег страт-п-с-26-09"/>
    <x v="0"/>
    <x v="3"/>
    <x v="3"/>
  </r>
  <r>
    <n v="360"/>
    <s v="ЛИЧНО сентябрь 24.09.2026"/>
    <s v="Дивизион Конференции"/>
    <s v="К работе"/>
    <m/>
    <m/>
    <s v="Екатерина"/>
    <s v="2.58. Подготовить и разослать пострелиз с фотографиями"/>
    <s v="28.09.2026 03:00"/>
    <x v="0"/>
    <m/>
    <s v="Действие"/>
    <s v="Низкий"/>
    <s v="N"/>
    <m/>
    <s v="28.04.2026 16:24:59"/>
    <m/>
    <m/>
    <s v="Екатерина"/>
    <m/>
    <m/>
    <s v="N"/>
    <s v="N"/>
    <m/>
    <x v="6"/>
    <m/>
    <s v="2026-04-28 16:25:00: Екатерина создал(-а) задачу;_x000a_2026-04-28 19:28:03: Екатерина добавил(-а) тег POST;_x000a_2026-04-29 10:18:28: Екатерина изменил(-а) дату на 28.09.2026 - 28.09.2026;_x000a_2026-04-29 10:18:29: Екатерина изменил(-а) дату на 28.09.2026 - 01.10.2026;_x000a_2026-04-29 11:09:25: Екатерина добавил(-а) тег страт-п-с-26-09;_x000a_2026-04-29 11:09:26: Екатерина добавил(-а) тег Продюсер;_x000a_2026-04-30 14:54:33: Екатерина убрал(-а) тег страт-п-с-26-09;_x000a_2026-04-30 14:54:36: Екатерина добавил(-а) тег страт-п-с-26-09"/>
    <x v="0"/>
    <x v="3"/>
    <x v="3"/>
  </r>
  <r>
    <n v="359"/>
    <s v="ЛИЧНО сентябрь 24.09.2026"/>
    <s v="Дивизион Конференции"/>
    <s v="К работе"/>
    <m/>
    <m/>
    <s v="Екатерина"/>
    <s v="2.57. Отправить благодарности спикерам"/>
    <s v="28.09.2026 03:00"/>
    <x v="0"/>
    <m/>
    <s v="Действие"/>
    <s v="Низкий"/>
    <s v="N"/>
    <m/>
    <s v="28.04.2026 16:24:49"/>
    <m/>
    <m/>
    <s v="Екатерина"/>
    <m/>
    <m/>
    <s v="N"/>
    <s v="N"/>
    <m/>
    <x v="6"/>
    <m/>
    <s v="2026-04-28 16:24:50: Екатерина создал(-а) задачу;_x000a_2026-04-28 19:27:57: Екатерина добавил(-а) тег POST;_x000a_2026-04-29 10:17:50: Екатерина изменил(-а) дату на 28.09.2026 - 28.09.2026;_x000a_2026-04-29 10:17:52: Екатерина изменил(-а) дату на 28.09.2026 - 01.10.2026;_x000a_2026-04-29 11:09:20: Екатерина добавил(-а) тег страт-п-с-26-09;_x000a_2026-04-29 11:09:21: Екатерина добавил(-а) тег Продюсер;_x000a_2026-04-30 14:54:22: Екатерина убрал(-а) тег страт-п-с-26-09;_x000a_2026-04-30 14:54:25: Екатерина добавил(-а) тег страт-п-с-26-09"/>
    <x v="0"/>
    <x v="3"/>
    <x v="3"/>
  </r>
  <r>
    <n v="358"/>
    <s v="ЛИЧНО сентябрь 24.09.2026"/>
    <s v="Дивизион Конференции"/>
    <s v="К работе"/>
    <m/>
    <m/>
    <s v="Екатерина"/>
    <s v="2.56. Подготовить отчет к Итоговому совещанию для рабочей группы"/>
    <s v="28.09.2026 03:00"/>
    <x v="0"/>
    <m/>
    <s v="Действие"/>
    <s v="Низкий"/>
    <s v="N"/>
    <m/>
    <s v="28.04.2026 16:24:39"/>
    <m/>
    <m/>
    <s v="Екатерина"/>
    <m/>
    <m/>
    <s v="N"/>
    <s v="N"/>
    <m/>
    <x v="6"/>
    <m/>
    <s v="2026-04-28 16:24:40: Екатерина создал(-а) задачу;_x000a_2026-04-28 19:27:54: Екатерина добавил(-а) тег POST;_x000a_2026-04-29 10:17:08: Екатерина изменил(-а) дату на 28.09.2026;_x000a_2026-04-29 10:17:09: Екатерина изменил(-а) дату на 01.10.2026;_x000a_2026-04-29 10:17:15: Екатерина изменил(-а) дату на 28.09.2026 - 01.10.2026;_x000a_2026-04-29 11:09:10: Екатерина добавил(-а) тег страт-п-с-26-09;_x000a_2026-04-29 11:09:11: Екатерина добавил(-а) тег Продюсер;_x000a_2026-04-30 14:54:01: Екатерина убрал(-а) тег страт-п-с-26-09;_x000a_2026-04-30 14:54:03: Екатерина добавил(-а) тег страт-п-с-26-09"/>
    <x v="0"/>
    <x v="3"/>
    <x v="3"/>
  </r>
  <r>
    <n v="357"/>
    <s v="ЛИЧНО сентябрь 24.09.2026"/>
    <s v="Дивизион Конференции"/>
    <s v="К работе"/>
    <m/>
    <m/>
    <s v="Екатерина"/>
    <s v="2.55. Провести вручение подарков"/>
    <s v="24.09.2026 03:00"/>
    <x v="4"/>
    <m/>
    <s v="Действие"/>
    <s v="Низкий"/>
    <s v="N"/>
    <m/>
    <s v="28.04.2026 16:24:29"/>
    <m/>
    <m/>
    <s v="Екатерина"/>
    <m/>
    <m/>
    <s v="N"/>
    <s v="N"/>
    <m/>
    <x v="7"/>
    <m/>
    <s v="2026-04-28 16:24:29: Екатерина создал(-а) задачу;_x000a_2026-04-28 19:27:37: Екатерина добавил(-а) тег D;_x000a_2026-04-29 10:16:33: Екатерина изменил(-а) дату на 24.09.2026;_x000a_2026-04-29 10:16:34: Екатерина изменил(-а) дату на 24.09.2026 - 24.09.2026;_x000a_2026-04-29 11:09:05: Екатерина добавил(-а) тег страт-п-с-26-09;_x000a_2026-04-29 11:09:06: Екатерина добавил(-а) тег Продюсер;_x000a_2026-04-30 14:53:46: Екатерина убрал(-а) тег страт-п-с-26-09;_x000a_2026-04-30 14:53:48: Екатерина добавил(-а) тег страт-п-с-26-09"/>
    <x v="0"/>
    <x v="3"/>
    <x v="3"/>
  </r>
  <r>
    <n v="356"/>
    <s v="ЛИЧНО сентябрь 24.09.2026"/>
    <s v="Дивизион Конференции"/>
    <s v="К работе"/>
    <m/>
    <m/>
    <s v="Екатерина"/>
    <s v="2.54. Провести модерацию мероприятия"/>
    <s v="24.09.2026 03:00"/>
    <x v="4"/>
    <m/>
    <s v="Действие"/>
    <s v="Низкий"/>
    <s v="N"/>
    <m/>
    <s v="28.04.2026 16:24:19"/>
    <m/>
    <m/>
    <s v="Екатерина"/>
    <m/>
    <m/>
    <s v="N"/>
    <s v="N"/>
    <m/>
    <x v="7"/>
    <m/>
    <s v="2026-04-28 16:24:20: Екатерина создал(-а) задачу;_x000a_2026-04-28 19:27:34: Екатерина добавил(-а) тег D;_x000a_2026-04-29 10:16:18: Екатерина изменил(-а) дату на 24.09.2026;_x000a_2026-04-29 10:16:20: Екатерина изменил(-а) дату на 24.09.2026 - 24.09.2026;_x000a_2026-04-29 11:08:59: Екатерина добавил(-а) тег страт-п-с-26-09;_x000a_2026-04-29 11:09:01: Екатерина добавил(-а) тег Продюсер;_x000a_2026-04-30 14:53:30: Екатерина убрал(-а) тег страт-п-с-26-09;_x000a_2026-04-30 14:53:38: Екатерина добавил(-а) тег страт-п-с-26-09"/>
    <x v="0"/>
    <x v="3"/>
    <x v="3"/>
  </r>
  <r>
    <n v="355"/>
    <s v="ЛИЧНО сентябрь 24.09.2026"/>
    <s v="Дивизион Конференции"/>
    <s v="К работе"/>
    <m/>
    <m/>
    <s v="Екатерина"/>
    <s v="2.53. Провести встречу спикеров на площадке мероприятия"/>
    <s v="24.09.2026 03:00"/>
    <x v="4"/>
    <m/>
    <s v="Действие"/>
    <s v="Низкий"/>
    <s v="N"/>
    <m/>
    <s v="28.04.2026 16:24:08"/>
    <m/>
    <m/>
    <s v="Екатерина"/>
    <m/>
    <m/>
    <s v="N"/>
    <s v="N"/>
    <m/>
    <x v="7"/>
    <m/>
    <s v="2026-04-28 16:24:08: Екатерина создал(-а) задачу;_x000a_2026-04-28 19:27:29: Екатерина добавил(-а) тег D;_x000a_2026-04-29 10:15:56: Екатерина изменил(-а) дату на 24.09.2026;_x000a_2026-04-29 10:16:00: Екатерина изменил(-а) дату на 24.09.2026 - 24.09.2026;_x000a_2026-04-29 11:08:46: Екатерина добавил(-а) тег страт-п-с-26-09;_x000a_2026-04-29 11:08:47: Екатерина добавил(-а) тег Продюсер;_x000a_2026-04-30 14:53:22: Екатерина убрал(-а) тег страт-п-с-26-09;_x000a_2026-04-30 14:53:24: Екатерина добавил(-а) тег страт-п-с-26-09"/>
    <x v="0"/>
    <x v="3"/>
    <x v="3"/>
  </r>
  <r>
    <n v="354"/>
    <s v="ЛИЧНО сентябрь 24.09.2026"/>
    <s v="Дивизион Конференции"/>
    <s v="К работе"/>
    <m/>
    <m/>
    <s v="Екатерина"/>
    <s v="2.52. Подготовить Папку модератора"/>
    <s v="14.09.2026 03:00"/>
    <x v="6"/>
    <m/>
    <s v="Действие"/>
    <s v="Низкий"/>
    <s v="N"/>
    <m/>
    <s v="28.04.2026 16:23:59"/>
    <m/>
    <m/>
    <s v="Екатерина"/>
    <m/>
    <m/>
    <s v="N"/>
    <s v="N"/>
    <m/>
    <x v="8"/>
    <m/>
    <s v="2026-04-28 16:23:59: Екатерина создал(-а) задачу;_x000a_2026-04-29 09:54:07: Екатерина добавил(-а) тег PRO;_x000a_2026-04-29 11:00:16: Екатерина изменил(-а) дату на 14.09.2026;_x000a_2026-04-29 11:00:19: Екатерина изменил(-а) дату на 14.09.2026 - 17.09.2026;_x000a_2026-04-29 11:08:41: Екатерина добавил(-а) тег страт-п-с-26-09;_x000a_2026-04-29 11:08:43: Екатерина добавил(-а) тег Продюсер;_x000a_2026-04-30 14:53:10: Екатерина убрал(-а) тег страт-п-с-26-09;_x000a_2026-04-30 14:53:12: Екатерина добавил(-а) тег страт-п-с-26-09"/>
    <x v="0"/>
    <x v="3"/>
    <x v="3"/>
  </r>
  <r>
    <n v="353"/>
    <s v="ЛИЧНО сентябрь 24.09.2026"/>
    <s v="Дивизион Конференции"/>
    <s v="К работе"/>
    <m/>
    <m/>
    <s v="Екатерина"/>
    <s v="2.51. Подготовить  таблицу спикеров, списки с подарками для спикеров"/>
    <s v="14.09.2026 03:00"/>
    <x v="6"/>
    <m/>
    <s v="Действие"/>
    <s v="Низкий"/>
    <s v="N"/>
    <m/>
    <s v="28.04.2026 16:23:46"/>
    <m/>
    <m/>
    <s v="Екатерина"/>
    <m/>
    <m/>
    <s v="N"/>
    <s v="N"/>
    <m/>
    <x v="8"/>
    <m/>
    <s v="2026-04-28 16:23:46: Екатерина создал(-а) задачу;_x000a_2026-04-29 09:54:10: Екатерина добавил(-а) тег PRO;_x000a_2026-04-29 11:00:30: Екатерина изменил(-а) дату на 14.09.2026;_x000a_2026-04-29 11:00:34: Екатерина изменил(-а) дату на 14.09.2026 - 17.09.2026;_x000a_2026-04-29 11:08:35: Екатерина добавил(-а) тег страт-п-с-26-09;_x000a_2026-04-29 11:08:37: Екатерина добавил(-а) тег Продюсер;_x000a_2026-04-30 14:52:58: Екатерина убрал(-а) тег страт-п-с-26-09;_x000a_2026-04-30 14:53:01: Екатерина добавил(-а) тег страт-п-с-26-09"/>
    <x v="0"/>
    <x v="3"/>
    <x v="3"/>
  </r>
  <r>
    <n v="352"/>
    <s v="ЛИЧНО сентябрь 24.09.2026"/>
    <s v="Дивизион Конференции"/>
    <s v="К работе"/>
    <m/>
    <m/>
    <s v="Екатерина"/>
    <s v="2.50. Получить не менее чем от 90-100% спикеров их презентации по шаблону КВК"/>
    <s v="14.09.2026 03:00"/>
    <x v="6"/>
    <m/>
    <s v="Действие"/>
    <s v="Низкий"/>
    <s v="N"/>
    <m/>
    <s v="28.04.2026 16:22:47"/>
    <m/>
    <m/>
    <s v="Екатерина"/>
    <m/>
    <m/>
    <s v="N"/>
    <s v="N"/>
    <m/>
    <x v="8"/>
    <m/>
    <s v="2026-04-28 16:22:47: Екатерина создал(-а) задачу;_x000a_2026-04-29 09:54:15: Екатерина добавил(-а) тег PRO;_x000a_2026-04-29 11:00:26: Екатерина изменил(-а) дату на 14.09.2026;_x000a_2026-04-29 11:00:30: Екатерина изменил(-а) дату на 14.09.2026 - 17.09.2026;_x000a_2026-04-29 11:08:30: Екатерина добавил(-а) тег страт-п-с-26-09;_x000a_2026-04-29 11:08:31: Екатерина добавил(-а) тег Продюсер;_x000a_2026-04-30 14:52:45: Екатерина убрал(-а) тег страт-п-с-26-09;_x000a_2026-04-30 14:52:49: Екатерина добавил(-а) тег страт-п-с-26-09"/>
    <x v="0"/>
    <x v="3"/>
    <x v="3"/>
  </r>
  <r>
    <n v="351"/>
    <s v="ЛИЧНО сентябрь 24.09.2026"/>
    <s v="Дивизион Конференции"/>
    <s v="К работе"/>
    <m/>
    <m/>
    <s v="Екатерина"/>
    <s v="2.49. Провести сверку на условие 100% спикеров подтвердились"/>
    <s v="14.09.2026 03:00"/>
    <x v="6"/>
    <m/>
    <s v="Действие"/>
    <s v="Низкий"/>
    <s v="N"/>
    <m/>
    <s v="28.04.2026 16:22:30"/>
    <m/>
    <m/>
    <s v="Екатерина"/>
    <m/>
    <m/>
    <s v="N"/>
    <s v="N"/>
    <m/>
    <x v="8"/>
    <m/>
    <s v="2026-04-28 16:22:31: Екатерина создал(-а) задачу;_x000a_2026-04-29 09:54:19: Екатерина добавил(-а) тег PRO;_x000a_2026-04-29 10:58:23: Екатерина изменил(-а) дату на 10.09.2026;_x000a_2026-04-29 11:00:07: Екатерина изменил(-а) дату на 14.09.2026;_x000a_2026-04-29 11:00:08: Екатерина изменил(-а) дату на 14.09.2026 - 17.09.2026;_x000a_2026-04-29 11:08:24: Екатерина добавил(-а) тег страт-п-с-26-09;_x000a_2026-04-29 11:08:27: Екатерина добавил(-а) тег Продюсер;_x000a_2026-04-30 14:52:29: Екатерина убрал(-а) тег страт-п-с-26-09;_x000a_2026-04-30 14:52:33: Екатерина добавил(-а) тег страт-п-с-26-09"/>
    <x v="0"/>
    <x v="3"/>
    <x v="3"/>
  </r>
  <r>
    <n v="350"/>
    <s v="ЛИЧНО сентябрь 24.09.2026"/>
    <s v="Дивизион Конференции"/>
    <s v="К работе"/>
    <m/>
    <m/>
    <s v="Екатерина"/>
    <s v="2.48. Подготовить и провести Прогон"/>
    <s v="14.09.2026 03:00"/>
    <x v="6"/>
    <m/>
    <s v="Действие"/>
    <s v="Низкий"/>
    <s v="N"/>
    <m/>
    <s v="28.04.2026 16:22:21"/>
    <m/>
    <m/>
    <s v="Екатерина"/>
    <m/>
    <m/>
    <s v="N"/>
    <s v="N"/>
    <m/>
    <x v="8"/>
    <m/>
    <s v="2026-04-28 16:22:21: Екатерина создал(-а) задачу;_x000a_2026-04-29 09:54:48: Екатерина добавил(-а) тег PRO;_x000a_2026-04-29 10:59:17: Екатерина изменил(-а) дату на 10.09.2026;_x000a_2026-04-29 10:59:24: Екатерина изменил(-а) дату на 10.09.2026 - 13.09.2026;_x000a_2026-04-29 10:59:50: Екатерина изменил(-а) дату на 14.09.2026 - 16.09.2026;_x000a_2026-04-29 10:59:54: Екатерина изменил(-а) дату на 14.09.2026 - 17.09.2026;_x000a_2026-04-29 11:08:15: Екатерина добавил(-а) тег страт-п-с-26-09;_x000a_2026-04-29 11:08:15: Екатерина добавил(-а) тег Продюсер;_x000a_2026-04-30 14:52:15: Екатерина убрал(-а) тег страт-п-с-26-09;_x000a_2026-04-30 14:52:21: Екатерина добавил(-а) тег страт-п-с-26-09"/>
    <x v="0"/>
    <x v="3"/>
    <x v="3"/>
  </r>
  <r>
    <n v="349"/>
    <s v="ЛИЧНО сентябрь 24.09.2026"/>
    <s v="Дивизион Конференции"/>
    <s v="К работе"/>
    <m/>
    <m/>
    <s v="Екатерина"/>
    <s v="2.47. Проверить Рабочую тетрадь"/>
    <s v="07.09.2026 03:00"/>
    <x v="7"/>
    <m/>
    <s v="Действие"/>
    <s v="Низкий"/>
    <s v="N"/>
    <m/>
    <s v="28.04.2026 16:22:10"/>
    <m/>
    <m/>
    <s v="Екатерина"/>
    <m/>
    <m/>
    <s v="N"/>
    <s v="N"/>
    <m/>
    <x v="8"/>
    <m/>
    <s v="2026-04-28 16:22:11: Екатерина создал(-а) задачу;_x000a_2026-04-29 09:54:22: Екатерина добавил(-а) тег PRO;_x000a_2026-04-29 10:55:57: Екатерина изменил(-а) дату на 07.09.2026 - 07.09.2026;_x000a_2026-04-29 10:55:57: Екатерина изменил(-а) дату на 07.09.2026 - 10.09.2026;_x000a_2026-04-29 11:08:08: Екатерина добавил(-а) тег страт-п-с-26-09;_x000a_2026-04-29 11:08:09: Екатерина добавил(-а) тег Продюсер;_x000a_2026-04-30 14:52:03: Екатерина убрал(-а) тег страт-п-с-26-09;_x000a_2026-04-30 14:52:12: Екатерина добавил(-а) тег страт-п-с-26-09"/>
    <x v="0"/>
    <x v="3"/>
    <x v="3"/>
  </r>
  <r>
    <n v="348"/>
    <s v="ЛИЧНО сентябрь 24.09.2026"/>
    <s v="Дивизион Конференции"/>
    <s v="К работе"/>
    <m/>
    <m/>
    <s v="Екатерина"/>
    <s v="2.46. Подготовить и сдать координатору таблицу спикеров с подарками"/>
    <s v="07.09.2026 03:00"/>
    <x v="7"/>
    <m/>
    <s v="Действие"/>
    <s v="Низкий"/>
    <s v="N"/>
    <m/>
    <s v="28.04.2026 16:22:00"/>
    <m/>
    <m/>
    <s v="Екатерина"/>
    <m/>
    <m/>
    <s v="N"/>
    <s v="N"/>
    <m/>
    <x v="8"/>
    <m/>
    <s v="2026-04-28 16:22:00: Екатерина создал(-а) задачу;_x000a_2026-04-29 09:54:43: Екатерина добавил(-а) тег PRO;_x000a_2026-04-29 10:58:14: Екатерина изменил(-а) дату на 08.09.2026;_x000a_2026-04-29 10:58:17: Екатерина изменил(-а) дату на 07.09.2026 - 08.09.2026;_x000a_2026-04-29 10:58:18: Екатерина изменил(-а) дату на 07.09.2026 - 10.09.2026;_x000a_2026-04-29 11:08:03: Екатерина добавил(-а) тег страт-п-с-26-09;_x000a_2026-04-29 11:08:03: Екатерина добавил(-а) тег Продюсер;_x000a_2026-04-30 14:51:50: Екатерина убрал(-а) тег страт-п-с-26-09;_x000a_2026-04-30 14:51:55: Екатерина добавил(-а) тег страт-п-с-26-09"/>
    <x v="0"/>
    <x v="3"/>
    <x v="3"/>
  </r>
  <r>
    <n v="347"/>
    <s v="ЛИЧНО сентябрь 24.09.2026"/>
    <s v="Дивизион Конференции"/>
    <s v="К работе"/>
    <m/>
    <m/>
    <s v="Екатерина"/>
    <s v="2.45. Получить не менее чем от 80% спикеров их презентации по шаблону КВК"/>
    <s v="07.09.2026 03:00"/>
    <x v="7"/>
    <m/>
    <s v="Действие"/>
    <s v="Низкий"/>
    <s v="N"/>
    <m/>
    <s v="28.04.2026 16:21:50"/>
    <m/>
    <m/>
    <s v="Екатерина"/>
    <m/>
    <m/>
    <s v="N"/>
    <s v="N"/>
    <m/>
    <x v="8"/>
    <m/>
    <s v="2026-04-28 16:21:50: Екатерина создал(-а) задачу;_x000a_2026-04-29 09:54:40: Екатерина добавил(-а) тег PRO;_x000a_2026-04-29 10:57:39: Екатерина изменил(-а) дату на 08.09.2026;_x000a_2026-04-29 10:57:42: Екатерина изменил(-а) дату на 07.09.2026 - 08.09.2026;_x000a_2026-04-29 10:58:23: Екатерина изменил(-а) дату на 07.09.2026 - 10.09.2026;_x000a_2026-04-29 11:07:57: Екатерина добавил(-а) тег страт-п-с-26-09;_x000a_2026-04-29 11:07:57: Екатерина добавил(-а) тег Продюсер;_x000a_2026-04-30 14:51:42: Екатерина убрал(-а) тег страт-п-с-26-09;_x000a_2026-04-30 14:51:45: Екатерина добавил(-а) тег страт-п-с-26-09"/>
    <x v="0"/>
    <x v="3"/>
    <x v="3"/>
  </r>
  <r>
    <n v="346"/>
    <s v="ЛИЧНО сентябрь 24.09.2026"/>
    <s v="Дивизион Конференции"/>
    <s v="К работе"/>
    <m/>
    <m/>
    <s v="Екатерина"/>
    <s v="2.44. Проверить согласование рассылок с Лидгеном"/>
    <s v="07.09.2026 03:00"/>
    <x v="7"/>
    <m/>
    <s v="Действие"/>
    <s v="Низкий"/>
    <s v="N"/>
    <m/>
    <s v="28.04.2026 16:21:39"/>
    <m/>
    <m/>
    <s v="Екатерина"/>
    <m/>
    <m/>
    <s v="N"/>
    <s v="N"/>
    <m/>
    <x v="8"/>
    <m/>
    <s v="2026-04-28 16:21:39: Екатерина создал(-а) задачу;_x000a_2026-04-29 09:54:37: Екатерина добавил(-а) тег PRO;_x000a_2026-04-29 10:57:27: Екатерина изменил(-а) дату на 08.09.2026;_x000a_2026-04-29 10:57:34: Екатерина изменил(-а) дату на 07.09.2026 - 08.09.2026;_x000a_2026-04-29 10:57:37: Екатерина изменил(-а) дату на 07.09.2026 - 10.09.2026;_x000a_2026-04-29 11:07:51: Екатерина добавил(-а) тег страт-п-с-26-09;_x000a_2026-04-29 11:07:51: Екатерина добавил(-а) тег Продюсер;_x000a_2026-04-30 14:51:32: Екатерина убрал(-а) тег страт-п-с-26-09;_x000a_2026-04-30 14:51:33: Екатерина добавил(-а) тег страт-п-с-26-09"/>
    <x v="0"/>
    <x v="3"/>
    <x v="3"/>
  </r>
  <r>
    <n v="345"/>
    <s v="ЛИЧНО сентябрь 24.09.2026"/>
    <s v="Дивизион Конференции"/>
    <s v="К работе"/>
    <m/>
    <m/>
    <s v="Екатерина"/>
    <s v="2.43. Подписать со спикерами не менее 90%  договоров"/>
    <s v="07.09.2026 03:00"/>
    <x v="7"/>
    <m/>
    <s v="Действие"/>
    <s v="Низкий"/>
    <s v="N"/>
    <m/>
    <s v="28.04.2026 16:21:29"/>
    <m/>
    <m/>
    <s v="Екатерина"/>
    <m/>
    <m/>
    <s v="N"/>
    <s v="N"/>
    <m/>
    <x v="8"/>
    <m/>
    <s v="2026-04-28 16:21:30: Екатерина создал(-а) задачу;_x000a_2026-04-29 09:54:33: Екатерина добавил(-а) тег PRO;_x000a_2026-04-29 10:56:51: Екатерина изменил(-а) дату на 07.09.2026;_x000a_2026-04-29 10:56:55: Екатерина изменил(-а) дату на 08.09.2026;_x000a_2026-04-29 10:57:23: Екатерина изменил(-а) дату на 08.09.2026 - 10.09.2026;_x000a_2026-04-29 10:57:25: Екатерина изменил(-а) дату на 07.09.2026 - 10.09.2026;_x000a_2026-04-29 11:07:45: Екатерина добавил(-а) тег страт-п-с-26-09;_x000a_2026-04-29 11:07:46: Екатерина добавил(-а) тег Продюсер;_x000a_2026-04-30 14:51:22: Екатерина убрал(-а) тег страт-п-с-26-09;_x000a_2026-04-30 14:51:23: Екатерина добавил(-а) тег страт-п-с-26-09"/>
    <x v="0"/>
    <x v="3"/>
    <x v="3"/>
  </r>
  <r>
    <n v="344"/>
    <s v="ЛИЧНО сентябрь 24.09.2026"/>
    <s v="Дивизион Конференции"/>
    <s v="К работе"/>
    <m/>
    <m/>
    <s v="Екатерина"/>
    <s v="2.42. К проведению  еженед. совещания выполнить не менее  90% задач пред и текущ. спринтов + опубликовать в чате еженедельный отчет по задачам"/>
    <s v="07.09.2026 03:00"/>
    <x v="7"/>
    <m/>
    <s v="Действие"/>
    <s v="Низкий"/>
    <s v="N"/>
    <m/>
    <s v="28.04.2026 16:21:19"/>
    <m/>
    <m/>
    <s v="Екатерина"/>
    <m/>
    <m/>
    <s v="N"/>
    <s v="N"/>
    <m/>
    <x v="8"/>
    <m/>
    <s v="2026-04-28 16:21:20: Екатерина создал(-а) задачу;_x000a_2026-04-29 09:54:29: Екатерина добавил(-а) тег PRO;_x000a_2026-04-29 10:55:36: Екатерина изменил(-а) дату на 07.09.2026;_x000a_2026-04-29 10:55:37: Екатерина изменил(-а) дату на 07.09.2026 - 07.09.2026;_x000a_2026-04-29 10:55:39: Екатерина изменил(-а) дату на 07.09.2026 - 10.09.2026;_x000a_2026-04-29 11:07:30: Екатерина добавил(-а) тег страт-п-с-26-09;_x000a_2026-04-29 11:07:31: Екатерина добавил(-а) тег Продюсер;_x000a_2026-04-30 14:49:47: Екатерина убрал(-а) тег страт-п-с-26-09;_x000a_2026-04-30 14:49:49: Екатерина добавил(-а) тег страт-п-с-26-09"/>
    <x v="0"/>
    <x v="3"/>
    <x v="3"/>
  </r>
  <r>
    <n v="343"/>
    <s v="ЛИЧНО сентябрь 24.09.2026"/>
    <s v="Дивизион Конференции"/>
    <s v="К работе"/>
    <m/>
    <m/>
    <s v="Екатерина"/>
    <s v="2.41. Подготовить предварительный список спикеров с подарками"/>
    <s v="31.08.2026 03:00"/>
    <x v="19"/>
    <m/>
    <s v="Действие"/>
    <s v="Низкий"/>
    <s v="N"/>
    <m/>
    <s v="28.04.2026 16:21:10"/>
    <m/>
    <m/>
    <s v="Екатерина"/>
    <m/>
    <m/>
    <s v="N"/>
    <s v="N"/>
    <m/>
    <x v="8"/>
    <m/>
    <s v="2026-04-28 16:21:11: Екатерина создал(-а) задачу;_x000a_2026-04-29 09:54:25: Екатерина добавил(-а) тег PRO;_x000a_2026-04-29 10:28:18: Екатерина изменил(-а) дату на 31.08.2026 - 31.08.2026;_x000a_2026-04-29 10:28:20: Екатерина изменил(-а) дату на 31.08.2026 - 03.09.2026;_x000a_2026-04-29 11:07:24: Екатерина добавил(-а) тег страт-п-с-26-09;_x000a_2026-04-29 11:07:25: Екатерина добавил(-а) тег Продюсер;_x000a_2026-04-30 14:49:34: Екатерина убрал(-а) тег страт-п-с-26-09;_x000a_2026-04-30 14:49:38: Екатерина добавил(-а) тег страт-п-с-26-09"/>
    <x v="0"/>
    <x v="3"/>
    <x v="3"/>
  </r>
  <r>
    <n v="341"/>
    <s v="ЛИЧНО сентябрь 24.09.2026"/>
    <s v="Дивизион Конференции"/>
    <s v="К работе"/>
    <m/>
    <m/>
    <s v="Екатерина"/>
    <s v="2.39. Провести согласование рассылок с Лидгеном"/>
    <s v="31.08.2026 03:00"/>
    <x v="19"/>
    <m/>
    <s v="Действие"/>
    <s v="Низкий"/>
    <s v="N"/>
    <m/>
    <s v="28.04.2026 16:20:49"/>
    <m/>
    <m/>
    <s v="Екатерина"/>
    <m/>
    <m/>
    <s v="N"/>
    <s v="N"/>
    <m/>
    <x v="8"/>
    <m/>
    <s v="2026-04-28 16:20:50: Екатерина создал(-а) задачу;_x000a_2026-04-29 09:55:11: Екатерина добавил(-а) тег PRO;_x000a_2026-04-29 10:36:00: Екатерина изменил(-а) дату на 31.08.2026;_x000a_2026-04-29 10:36:01: Екатерина изменил(-а) дату на 31.08.2026 - 31.08.2026;_x000a_2026-04-29 10:36:03: Екатерина изменил(-а) дату на 31.08.2026 - 03.09.2026;_x000a_2026-04-29 11:07:11: Екатерина добавил(-а) тег страт-п-с-26-09;_x000a_2026-04-29 11:07:12: Екатерина добавил(-а) тег Продюсер;_x000a_2026-04-30 14:49:14: Екатерина убрал(-а) тег страт-п-с-26-09;_x000a_2026-04-30 14:49:20: Екатерина добавил(-а) тег страт-п-с-26-09"/>
    <x v="0"/>
    <x v="3"/>
    <x v="3"/>
  </r>
  <r>
    <n v="340"/>
    <s v="ЛИЧНО сентябрь 24.09.2026"/>
    <s v="Дивизион Конференции"/>
    <s v="К работе"/>
    <m/>
    <m/>
    <s v="Екатерина"/>
    <s v="2.38. Подписать со спикерами не менее 70-90%  договоров"/>
    <s v="31.08.2026 03:00"/>
    <x v="19"/>
    <m/>
    <s v="Действие"/>
    <s v="Низкий"/>
    <s v="N"/>
    <m/>
    <s v="28.04.2026 16:20:40"/>
    <m/>
    <m/>
    <s v="Екатерина"/>
    <m/>
    <m/>
    <s v="N"/>
    <s v="N"/>
    <m/>
    <x v="8"/>
    <m/>
    <s v="2026-04-28 16:20:40: Екатерина создал(-а) задачу;_x000a_2026-04-29 09:55:08: Екатерина добавил(-а) тег PRO;_x000a_2026-04-29 10:27:52: Екатерина изменил(-а) дату на 31.08.2026 - 31.08.2026;_x000a_2026-04-29 10:27:54: Екатерина изменил(-а) дату на 31.08.2026 - 03.09.2026;_x000a_2026-04-29 11:07:04: Екатерина добавил(-а) тег страт-п-с-26-09;_x000a_2026-04-29 11:07:06: Екатерина добавил(-а) тег Продюсер;_x000a_2026-04-30 14:49:05: Екатерина убрал(-а) тег страт-п-с-26-09;_x000a_2026-04-30 14:49:08: Екатерина добавил(-а) тег страт-п-с-26-09"/>
    <x v="0"/>
    <x v="3"/>
    <x v="3"/>
  </r>
  <r>
    <n v="339"/>
    <s v="ЛИЧНО сентябрь 24.09.2026"/>
    <s v="Дивизион Конференции"/>
    <s v="К работе"/>
    <m/>
    <m/>
    <s v="Екатерина"/>
    <s v="2.37 К проведению  еженед. совещания выполнить не менее  90% задач пред и текущ. спринтов +  еженедельный отчет по задачам опубликовать в чате"/>
    <s v="31.08.2026 03:00"/>
    <x v="19"/>
    <m/>
    <s v="Действие"/>
    <s v="Низкий"/>
    <s v="N"/>
    <m/>
    <s v="28.04.2026 16:20:30"/>
    <m/>
    <m/>
    <s v="Екатерина"/>
    <m/>
    <m/>
    <s v="N"/>
    <s v="N"/>
    <m/>
    <x v="8"/>
    <m/>
    <s v="2026-04-28 16:20:31: Екатерина создал(-а) задачу;_x000a_2026-04-29 09:55:05: Екатерина добавил(-а) тег PRO;_x000a_2026-04-29 10:27:40: Екатерина изменил(-а) дату на 31.08.2026 - 31.08.2026;_x000a_2026-04-29 10:27:42: Екатерина изменил(-а) дату на 31.08.2026 - 03.09.2026;_x000a_2026-04-29 11:06:33: Екатерина добавил(-а) тег страт-п-с-26-09;_x000a_2026-04-29 11:06:36: Екатерина добавил(-а) тег Продюсер;_x000a_2026-04-30 14:48:48: Екатерина убрал(-а) тег страт-п-с-26-09;_x000a_2026-04-30 14:48:50: Екатерина добавил(-а) тег страт-п-с-26-09"/>
    <x v="0"/>
    <x v="3"/>
    <x v="3"/>
  </r>
  <r>
    <n v="338"/>
    <s v="ЛИЧНО сентябрь 24.09.2026"/>
    <s v="Дивизион Конференции"/>
    <s v="К работе"/>
    <m/>
    <m/>
    <s v="Екатерина"/>
    <s v="2.36 Утвердить и передать координаторам ТЗ на подарки"/>
    <s v="24.08.2026 03:00"/>
    <x v="10"/>
    <m/>
    <s v="Действие"/>
    <s v="Низкий"/>
    <s v="N"/>
    <m/>
    <s v="28.04.2026 16:20:19"/>
    <m/>
    <m/>
    <s v="Екатерина"/>
    <m/>
    <m/>
    <s v="N"/>
    <s v="N"/>
    <m/>
    <x v="8"/>
    <m/>
    <s v="2026-04-28 16:20:19: Екатерина создал(-а) задачу;_x000a_2026-04-29 09:55:02: Екатерина добавил(-а) тег PRO;_x000a_2026-04-29 10:27:20: Екатерина изменил(-а) дату на 24.08.2026 - 24.08.2026;_x000a_2026-04-29 10:27:22: Екатерина изменил(-а) дату на 24.08.2026 - 27.08.2026;_x000a_2026-04-29 11:06:25: Екатерина добавил(-а) тег страт-п-с-26-09;_x000a_2026-04-29 11:06:27: Екатерина добавил(-а) тег Продюсер;_x000a_2026-04-30 14:48:37: Екатерина убрал(-а) тег страт-п-с-26-09;_x000a_2026-04-30 14:48:40: Екатерина добавил(-а) тег страт-п-с-26-09"/>
    <x v="0"/>
    <x v="3"/>
    <x v="3"/>
  </r>
  <r>
    <n v="337"/>
    <s v="ЛИЧНО сентябрь 24.09.2026"/>
    <s v="Дивизион Конференции"/>
    <s v="К работе"/>
    <m/>
    <m/>
    <s v="Екатерина"/>
    <s v="2.35. Согласовать с фин отделом смету на райдеры спикеров (подарки)"/>
    <s v="24.08.2026 03:00"/>
    <x v="10"/>
    <m/>
    <s v="Действие"/>
    <s v="Низкий"/>
    <s v="N"/>
    <m/>
    <s v="28.04.2026 16:20:09"/>
    <m/>
    <m/>
    <s v="Екатерина"/>
    <m/>
    <m/>
    <s v="N"/>
    <s v="N"/>
    <m/>
    <x v="8"/>
    <m/>
    <s v="2026-04-28 16:20:09: Екатерина создал(-а) задачу;_x000a_2026-04-29 09:54:59: Екатерина добавил(-а) тег PRO;_x000a_2026-04-29 10:27:10: Екатерина изменил(-а) дату на 24.08.2026 - 24.08.2026;_x000a_2026-04-29 10:27:12: Екатерина изменил(-а) дату на 24.08.2026 - 27.08.2026;_x000a_2026-04-29 11:06:20: Екатерина добавил(-а) тег страт-п-с-26-09;_x000a_2026-04-29 11:06:21: Екатерина добавил(-а) тег Продюсер;_x000a_2026-04-30 14:48:27: Екатерина убрал(-а) тег страт-п-с-26-09;_x000a_2026-04-30 14:48:30: Екатерина добавил(-а) тег страт-п-с-26-09"/>
    <x v="0"/>
    <x v="3"/>
    <x v="3"/>
  </r>
  <r>
    <n v="336"/>
    <s v="ЛИЧНО сентябрь 24.09.2026"/>
    <s v="Дивизион Конференции"/>
    <s v="К работе"/>
    <m/>
    <m/>
    <s v="Екатерина"/>
    <s v="2.34. Получить презентации от50% подтвержденных спикеров"/>
    <s v="24.08.2026 03:00"/>
    <x v="10"/>
    <m/>
    <s v="Действие"/>
    <s v="Низкий"/>
    <s v="N"/>
    <m/>
    <s v="28.04.2026 16:19:57"/>
    <m/>
    <m/>
    <s v="Екатерина"/>
    <m/>
    <m/>
    <s v="N"/>
    <s v="N"/>
    <m/>
    <x v="8"/>
    <m/>
    <s v="2026-04-28 16:19:58: Екатерина создал(-а) задачу;_x000a_2026-04-29 09:54:55: Екатерина добавил(-а) тег PRO;_x000a_2026-04-29 10:26:55: Екатерина изменил(-а) дату на 24.08.2026 - 24.08.2026;_x000a_2026-04-29 10:26:57: Екатерина изменил(-а) дату на 24.08.2026 - 27.08.2026;_x000a_2026-04-29 11:06:07: Екатерина добавил(-а) тег страт-п-с-26-09;_x000a_2026-04-29 11:06:12: Екатерина добавил(-а) тег Продюсер;_x000a_2026-04-30 14:48:13: Екатерина убрал(-а) тег страт-п-с-26-09;_x000a_2026-04-30 14:48:19: Екатерина добавил(-а) тег страт-п-с-26-09"/>
    <x v="0"/>
    <x v="3"/>
    <x v="3"/>
  </r>
  <r>
    <n v="335"/>
    <s v="ЛИЧНО сентябрь 24.09.2026"/>
    <s v="Дивизион Конференции"/>
    <s v="К работе"/>
    <m/>
    <m/>
    <s v="Екатерина"/>
    <s v="2.33. Провести согласование рассылок с Лидгеном"/>
    <s v="24.08.2026 03:00"/>
    <x v="10"/>
    <m/>
    <s v="Действие"/>
    <s v="Низкий"/>
    <s v="N"/>
    <m/>
    <s v="28.04.2026 16:19:49"/>
    <m/>
    <m/>
    <s v="Екатерина"/>
    <m/>
    <m/>
    <s v="N"/>
    <s v="N"/>
    <m/>
    <x v="8"/>
    <m/>
    <s v="2026-04-28 16:19:49: Екатерина создал(-а) задачу;_x000a_2026-04-29 09:54:01: Екатерина добавил(-а) тег PRO;_x000a_2026-04-29 10:26:39: Екатерина изменил(-а) дату на 24.08.2026 - 24.08.2026;_x000a_2026-04-29 10:26:40: Екатерина изменил(-а) дату на 24.08.2026 - 27.08.2026;_x000a_2026-04-29 11:05:57: Екатерина добавил(-а) тег страт-п-с-26-09;_x000a_2026-04-29 11:06:00: Екатерина добавил(-а) тег Продюсер;_x000a_2026-04-30 14:47:59: Екатерина убрал(-а) тег страт-п-с-26-09;_x000a_2026-04-30 14:48:08: Екатерина добавил(-а) тег страт-п-с-26-09"/>
    <x v="0"/>
    <x v="3"/>
    <x v="3"/>
  </r>
  <r>
    <n v="334"/>
    <s v="ЛИЧНО сентябрь 24.09.2026"/>
    <s v="Дивизион Конференции"/>
    <s v="К работе"/>
    <m/>
    <m/>
    <s v="Екатерина"/>
    <s v="2.32. Подписать со спикерами не менее 50-70%  договоров"/>
    <s v="24.08.2026 03:00"/>
    <x v="10"/>
    <m/>
    <s v="Действие"/>
    <s v="Низкий"/>
    <s v="N"/>
    <m/>
    <s v="28.04.2026 16:19:41"/>
    <m/>
    <m/>
    <s v="Екатерина"/>
    <m/>
    <m/>
    <s v="N"/>
    <s v="N"/>
    <m/>
    <x v="8"/>
    <m/>
    <s v="2026-04-28 16:19:41: Екатерина создал(-а) задачу;_x000a_2026-04-29 09:53:55: Екатерина добавил(-а) тег PRO;_x000a_2026-04-29 09:59:16: Екатерина добавил(-а) тег страт-п-с-26-09;_x000a_2026-04-29 09:59:22: Екатерина добавил(-а) тег Продюсер;_x000a_2026-04-29 10:26:20: Екатерина изменил(-а) дату на 24.08.2026 - 24.08.2026;_x000a_2026-04-29 10:26:22: Екатерина изменил(-а) дату на 24.08.2026 - 27.08.2026;_x000a_2026-04-30 14:47:42: Екатерина убрал(-а) тег страт-п-с-26-09;_x000a_2026-04-30 14:47:47: Екатерина добавил(-а) тег страт-п-с-26-09"/>
    <x v="0"/>
    <x v="3"/>
    <x v="3"/>
  </r>
  <r>
    <n v="333"/>
    <s v="ЛИЧНО сентябрь 24.09.2026"/>
    <s v="Дивизион Конференции"/>
    <s v="К работе"/>
    <m/>
    <m/>
    <s v="Екатерина"/>
    <s v="2.31. К проведению  еженед. совещания выполнить не менее  90% задач пред и текущ. спринтов +  еженедельный отчет по задачам опубликовать в чате"/>
    <s v="24.08.2026 03:00"/>
    <x v="10"/>
    <m/>
    <s v="Действие"/>
    <s v="Низкий"/>
    <s v="N"/>
    <m/>
    <s v="28.04.2026 16:19:30"/>
    <m/>
    <m/>
    <s v="Екатерина"/>
    <m/>
    <m/>
    <s v="N"/>
    <s v="N"/>
    <m/>
    <x v="8"/>
    <m/>
    <s v="2026-04-28 16:19:30: Екатерина создал(-а) задачу;_x000a_2026-04-29 09:53:09: Екатерина добавил(-а) тег PRO;_x000a_2026-04-29 09:59:02: Екатерина добавил(-а) тег страт-п-с-26-09;_x000a_2026-04-29 09:59:07: Екатерина добавил(-а) тег Продюсер;_x000a_2026-04-29 10:26:07: Екатерина изменил(-а) дату на 24.08.2026;_x000a_2026-04-29 10:26:07: Екатерина изменил(-а) дату на 24.08.2026 - 24.08.2026;_x000a_2026-04-29 10:26:10: Екатерина изменил(-а) дату на 24.08.2026 - 27.08.2026;_x000a_2026-04-30 14:47:30: Екатерина убрал(-а) тег страт-п-с-26-09;_x000a_2026-04-30 14:47:32: Екатерина добавил(-а) тег страт-п-с-26-09;_x000a_2026-04-30 14:47:33: Екатерина добавил(-а) тег ШП;_x000a_2026-04-30 14:47:34: Екатерина убрал(-а) тег ШП"/>
    <x v="0"/>
    <x v="3"/>
    <x v="3"/>
  </r>
  <r>
    <n v="332"/>
    <s v="ЛИЧНО сентябрь 24.09.2026"/>
    <s v="Дивизион Конференции"/>
    <s v="К работе"/>
    <m/>
    <m/>
    <s v="Екатерина"/>
    <s v="2.30. Получить презентации от 30% подтвержденных спикеров"/>
    <s v="17.08.2026 03:00"/>
    <x v="11"/>
    <m/>
    <s v="Действие"/>
    <s v="Низкий"/>
    <s v="N"/>
    <m/>
    <s v="28.04.2026 16:19:20"/>
    <m/>
    <m/>
    <s v="Екатерина"/>
    <m/>
    <m/>
    <s v="N"/>
    <s v="N"/>
    <m/>
    <x v="8"/>
    <m/>
    <s v="2026-04-28 16:19:20: Екатерина создал(-а) задачу;_x000a_2026-04-29 09:53:05: Екатерина добавил(-а) тег PRO;_x000a_2026-04-29 09:58:48: Екатерина добавил(-а) тег страт-п-с-26-09;_x000a_2026-04-29 09:58:52: Екатерина добавил(-а) тег Продюсер;_x000a_2026-04-29 10:25:34: Екатерина изменил(-а) дату на 17.08.2026 - 17.08.2026;_x000a_2026-04-29 10:25:35: Екатерина изменил(-а) дату на 17.08.2026 - 20.08.2026;_x000a_2026-04-30 14:47:11: Екатерина убрал(-а) тег страт-п-с-26-09;_x000a_2026-04-30 14:47:15: Екатерина добавил(-а) тег страт-п-с-26-09"/>
    <x v="0"/>
    <x v="3"/>
    <x v="3"/>
  </r>
  <r>
    <n v="331"/>
    <s v="ЛИЧНО сентябрь 24.09.2026"/>
    <s v="Дивизион Конференции"/>
    <s v="К работе"/>
    <m/>
    <m/>
    <s v="Екатерина"/>
    <s v="2.29. Провести согласование рассылок с Лидгеном"/>
    <s v="17.08.2026 03:00"/>
    <x v="11"/>
    <m/>
    <s v="Действие"/>
    <s v="Низкий"/>
    <s v="N"/>
    <m/>
    <s v="28.04.2026 16:19:09"/>
    <m/>
    <m/>
    <s v="Екатерина"/>
    <m/>
    <m/>
    <s v="N"/>
    <s v="N"/>
    <m/>
    <x v="8"/>
    <m/>
    <s v="2026-04-28 16:19:09: Екатерина создал(-а) задачу;_x000a_2026-04-29 09:53:01: Екатерина добавил(-а) тег PRO;_x000a_2026-04-29 09:58:32: Екатерина добавил(-а) тег страт-п-с-26-09;_x000a_2026-04-29 09:58:35: Екатерина добавил(-а) тег Продюсер;_x000a_2026-04-29 10:25:09: Екатерина изменил(-а) дату на 17.08.2026;_x000a_2026-04-29 10:25:10: Екатерина изменил(-а) дату на 20.08.2026;_x000a_2026-04-29 10:25:23: Екатерина изменил(-а) дату на 17.08.2026 - 20.08.2026;_x000a_2026-04-30 14:46:59: Екатерина убрал(-а) тег страт-п-с-26-09;_x000a_2026-04-30 14:47:04: Екатерина добавил(-а) тег страт-п-с-26-09"/>
    <x v="0"/>
    <x v="3"/>
    <x v="3"/>
  </r>
  <r>
    <n v="330"/>
    <s v="ЛИЧНО сентябрь 24.09.2026"/>
    <s v="Дивизион Конференции"/>
    <s v="К работе"/>
    <m/>
    <m/>
    <s v="Екатерина"/>
    <s v="2.28. Получить не менее 35-50% подписанных договоров со спикерами"/>
    <s v="17.08.2026 03:00"/>
    <x v="11"/>
    <m/>
    <s v="Действие"/>
    <s v="Низкий"/>
    <s v="N"/>
    <m/>
    <s v="28.04.2026 16:18:58"/>
    <m/>
    <m/>
    <s v="Екатерина"/>
    <m/>
    <m/>
    <s v="N"/>
    <s v="N"/>
    <m/>
    <x v="8"/>
    <m/>
    <s v="2026-04-28 16:18:58: Екатерина создал(-а) задачу;_x000a_2026-04-29 09:52:57: Екатерина добавил(-а) тег PRO;_x000a_2026-04-29 09:58:15: Екатерина добавил(-а) тег страт-п-с-26-09;_x000a_2026-04-29 09:58:20: Екатерина добавил(-а) тег Продюсер;_x000a_2026-04-29 10:24:46: Екатерина изменил(-а) дату на 17.08.2026 - 17.08.2026;_x000a_2026-04-29 10:24:46: Екатерина изменил(-а) дату на 17.08.2026 - 20.08.2026;_x000a_2026-04-30 14:46:49: Екатерина убрал(-а) тег страт-п-с-26-09;_x000a_2026-04-30 14:46:52: Екатерина добавил(-а) тег страт-п-с-26-09"/>
    <x v="0"/>
    <x v="3"/>
    <x v="3"/>
  </r>
  <r>
    <n v="329"/>
    <s v="ЛИЧНО сентябрь 24.09.2026"/>
    <s v="Дивизион Конференции"/>
    <s v="К работе"/>
    <m/>
    <m/>
    <s v="Екатерина"/>
    <s v="2.27. К проведению  еженед. совещания выполнить не менее  90% задач пред и текущ. спринтов + еженедельный отчет по задачам опубликовать в чате"/>
    <s v="17.08.2026 03:00"/>
    <x v="11"/>
    <m/>
    <s v="Действие"/>
    <s v="Низкий"/>
    <s v="N"/>
    <m/>
    <s v="28.04.2026 16:18:48"/>
    <m/>
    <m/>
    <s v="Екатерина"/>
    <m/>
    <m/>
    <s v="N"/>
    <s v="N"/>
    <m/>
    <x v="8"/>
    <m/>
    <s v="2026-04-28 16:18:48: Екатерина создал(-а) задачу;_x000a_2026-04-29 09:52:51: Екатерина добавил(-а) тег PRO;_x000a_2026-04-29 09:58:01: Екатерина добавил(-а) тег страт-п-с-26-09;_x000a_2026-04-29 09:58:07: Екатерина добавил(-а) тег Продюсер;_x000a_2026-04-29 10:24:30: Екатерина изменил(-а) дату на 17.08.2026 - 17.08.2026;_x000a_2026-04-29 10:24:30: Екатерина изменил(-а) дату на 20.08.2026;_x000a_2026-04-29 10:24:34: Екатерина изменил(-а) дату на 17.08.2026 - 20.08.2026;_x000a_2026-04-30 14:46:30: Екатерина убрал(-а) тег страт-п-с-26-09;_x000a_2026-04-30 14:46:33: Екатерина добавил(-а) тег страт-п-с-26-09"/>
    <x v="0"/>
    <x v="3"/>
    <x v="3"/>
  </r>
  <r>
    <n v="323"/>
    <s v="ЛИЧНО сентябрь 24.09.2026"/>
    <s v="Дивизион Конференции"/>
    <s v="К работе"/>
    <m/>
    <m/>
    <s v="Екатерина"/>
    <s v="2.21. Провести согласование  рассылочных писем с Лидгеном"/>
    <s v="03.08.2026 03:00"/>
    <x v="13"/>
    <m/>
    <s v="Действие"/>
    <s v="Низкий"/>
    <s v="N"/>
    <m/>
    <s v="28.04.2026 16:17:07"/>
    <m/>
    <m/>
    <s v="Екатерина"/>
    <m/>
    <m/>
    <s v="N"/>
    <s v="N"/>
    <m/>
    <x v="8"/>
    <m/>
    <s v="2026-04-28 16:17:07: Екатерина создал(-а) задачу;_x000a_2026-04-28 19:26:59: Екатерина добавил(-а) тег PRO;_x000a_2026-04-29 09:55:45: Екатерина добавил(-а) тег страт-п-с-26-09;_x000a_2026-04-29 09:55:45: Екатерина добавил(-а) тег Продюсер;_x000a_2026-04-29 10:22:49: Екатерина изменил(-а) дату на 03.08.2026 - 03.08.2026;_x000a_2026-04-29 10:22:50: Екатерина изменил(-а) дату на 03.08.2026 - 06.08.2026;_x000a_2026-04-30 14:44:55: Екатерина убрал(-а) тег страт-п-с-26-09;_x000a_2026-04-30 14:45:00: Екатерина добавил(-а) тег страт-п-с-26-09"/>
    <x v="0"/>
    <x v="3"/>
    <x v="3"/>
  </r>
  <r>
    <n v="322"/>
    <s v="ЛИЧНО сентябрь 24.09.2026"/>
    <s v="Дивизион Конференции"/>
    <s v="К работе"/>
    <m/>
    <m/>
    <s v="Екатерина"/>
    <s v="2.20. Подписать со спикерами не менее 15%  договоров"/>
    <s v="03.08.2026 03:00"/>
    <x v="13"/>
    <m/>
    <s v="Действие"/>
    <s v="Низкий"/>
    <s v="N"/>
    <m/>
    <s v="28.04.2026 16:16:58"/>
    <m/>
    <m/>
    <s v="Екатерина"/>
    <m/>
    <m/>
    <s v="N"/>
    <s v="N"/>
    <m/>
    <x v="8"/>
    <m/>
    <s v="2026-04-28 16:17:00: Екатерина создал(-а) задачу;_x000a_2026-04-28 19:26:55: Екатерина добавил(-а) тег PRO;_x000a_2026-04-29 09:55:38: Екатерина добавил(-а) тег страт-п-с-26-09;_x000a_2026-04-29 09:55:38: Екатерина добавил(-а) тег Продюсер;_x000a_2026-04-29 10:22:37: Екатерина изменил(-а) дату на 03.08.2026 - 03.08.2026;_x000a_2026-04-29 10:22:40: Екатерина изменил(-а) дату на 03.08.2026 - 06.08.2026;_x000a_2026-04-30 14:44:44: Екатерина убрал(-а) тег страт-п-с-26-09;_x000a_2026-04-30 14:44:49: Екатерина добавил(-а) тег страт-п-с-26-09"/>
    <x v="0"/>
    <x v="3"/>
    <x v="3"/>
  </r>
  <r>
    <n v="321"/>
    <s v="ЛИЧНО сентябрь 24.09.2026"/>
    <s v="Дивизион Конференции"/>
    <s v="К работе"/>
    <m/>
    <m/>
    <s v="Екатерина"/>
    <s v="2.19. К проведению  еженедельного совещания выполнить не менее  90% задач пред и текущ. спринтов +  еженедельный отчет опубликовать в чате"/>
    <s v="03.08.2026 03:00"/>
    <x v="13"/>
    <m/>
    <s v="Действие"/>
    <s v="Низкий"/>
    <s v="N"/>
    <m/>
    <s v="28.04.2026 16:16:50"/>
    <m/>
    <m/>
    <s v="Екатерина"/>
    <m/>
    <m/>
    <s v="N"/>
    <s v="N"/>
    <m/>
    <x v="8"/>
    <m/>
    <s v="2026-04-28 16:16:50: Екатерина создал(-а) задачу;_x000a_2026-04-28 19:11:51: Екатерина изменил(-а) дату на 07.08.2026;_x000a_2026-04-28 19:26:50: Екатерина добавил(-а) тег PRO;_x000a_2026-04-29 09:55:30: Екатерина добавил(-а) тег страт-п-с-26-09;_x000a_2026-04-29 09:55:32: Екатерина добавил(-а) тег Продюсер;_x000a_2026-04-29 10:22:16: Екатерина изменил(-а) дату на 03.08.2026 - 07.08.2026;_x000a_2026-04-29 10:22:17: Екатерина изменил(-а) дату на 03.08.2026 - 06.08.2026;_x000a_2026-04-30 14:44:30: Екатерина убрал(-а) тег страт-п-с-26-09;_x000a_2026-04-30 14:44:35: Екатерина добавил(-а) тег страт-п-с-26-09"/>
    <x v="0"/>
    <x v="3"/>
    <x v="3"/>
  </r>
  <r>
    <n v="319"/>
    <s v="ЛИЧНО сентябрь 24.09.2026"/>
    <s v="Дивизион Конференции"/>
    <s v="К работе"/>
    <m/>
    <m/>
    <s v="Екатерина"/>
    <s v="2.17. Получить от спикеров не менее 80% подтверждений о прочтении сообщений"/>
    <s v="27.07.2026 03:00"/>
    <x v="14"/>
    <m/>
    <s v="Действие"/>
    <s v="Низкий"/>
    <s v="N"/>
    <m/>
    <s v="28.04.2026 16:16:24"/>
    <m/>
    <m/>
    <s v="Екатерина"/>
    <m/>
    <m/>
    <s v="N"/>
    <s v="N"/>
    <m/>
    <x v="8"/>
    <m/>
    <s v="2026-04-28 16:16:26: Екатерина создал(-а) задачу;_x000a_2026-04-28 19:24:42: Екатерина добавил(-а) тег PRO;_x000a_2026-04-29 09:53:45: Екатерина добавил(-а) тег страт-п-с-26-09;_x000a_2026-04-29 09:53:45: Екатерина добавил(-а) тег ШП;_x000a_2026-04-29 09:53:45: Екатерина добавил(-а) тег Продюсер;_x000a_2026-04-29 09:53:47: Екатерина убрал(-а) тег ШП;_x000a_2026-04-29 10:21:45: Екатерина изменил(-а) дату на 27.07.2026 - 27.07.2026;_x000a_2026-04-29 10:21:46: Екатерина изменил(-а) дату на 27.07.2026 - 30.07.2026;_x000a_2026-04-30 14:39:54: Екатерина убрал(-а) тег страт-п-с-26-09;_x000a_2026-04-30 14:40:01: Екатерина добавил(-а) тег страт-п-с-26-09"/>
    <x v="0"/>
    <x v="3"/>
    <x v="3"/>
  </r>
  <r>
    <n v="318"/>
    <s v="ЛИЧНО сентябрь 24.09.2026"/>
    <s v="Дивизион Конференции"/>
    <s v="К работе"/>
    <m/>
    <m/>
    <s v="Екатерина"/>
    <s v="2.16. Провести еженедельное совещание и протокол совещания опубликовать в рабочем чате"/>
    <s v="27.07.2026 03:00"/>
    <x v="14"/>
    <m/>
    <s v="Действие"/>
    <s v="Низкий"/>
    <s v="N"/>
    <m/>
    <s v="28.04.2026 16:16:15"/>
    <m/>
    <m/>
    <s v="Екатерина"/>
    <m/>
    <m/>
    <s v="N"/>
    <s v="N"/>
    <m/>
    <x v="8"/>
    <m/>
    <s v="2026-04-28 16:16:15: Екатерина создал(-а) задачу;_x000a_2026-04-28 19:24:40: Екатерина добавил(-а) тег PRO;_x000a_2026-04-29 09:53:31: Екатерина добавил(-а) тег Продюсер;_x000a_2026-04-29 09:53:38: Екатерина добавил(-а) тег страт-п-с-26-09;_x000a_2026-04-29 10:21:33: Екатерина изменил(-а) дату на 27.07.2026 - 27.07.2026;_x000a_2026-04-29 10:21:36: Екатерина изменил(-а) дату на 27.07.2026 - 30.07.2026"/>
    <x v="0"/>
    <x v="3"/>
    <x v="3"/>
  </r>
  <r>
    <n v="312"/>
    <s v="ЛИЧНО сентябрь 24.09.2026"/>
    <s v="Дивизион Конференции"/>
    <s v="К работе"/>
    <m/>
    <m/>
    <s v="Екатерина"/>
    <s v="2.10. Результаты исследования сбросить в чат проекта"/>
    <s v="08.06.2026 03:00"/>
    <x v="17"/>
    <m/>
    <s v="Действие"/>
    <s v="Низкий"/>
    <s v="N"/>
    <m/>
    <s v="28.04.2026 16:14:32"/>
    <m/>
    <m/>
    <s v="Екатерина"/>
    <m/>
    <m/>
    <s v="N"/>
    <s v="N"/>
    <m/>
    <x v="9"/>
    <m/>
    <s v="2026-04-28 16:14:33: Екатерина создал(-а) задачу;_x000a_2026-04-28 19:06:11: Екатерина изменил(-а) дату на 12.06.2026;_x000a_2026-04-28 19:06:15: Екатерина убрал(-а) дату;_x000a_2026-04-28 19:06:29: Екатерина изменил(-а) дату на 12.06.2026;_x000a_2026-04-28 19:44:53: Екатерина добавил(-а) тег PRE;_x000a_2026-04-28 19:44:56: Екатерина добавил(-а) тег Продюсер;_x000a_2026-04-28 19:44:56: Екатерина убрал(-а) тег Продюсер;_x000a_2026-04-28 19:44:56: Екатерина добавил(-а) тег страт-п-с-26-09;_x000a_2026-04-28 19:45:02: Екатерина добавил(-а) тег Продюсер;_x000a_2026-04-29 10:19:40: Екатерина изменил(-а) дату на 08.06.2026 - 12.06.2026;_x000a_2026-04-29 10:19:43: Екатерина изменил(-а) дату на 08.06.2026 - 11.06.2026;_x000a_2026-04-30 14:35:48: Екатерина убрал(-а) тег страт-п-с-26-09;_x000a_2026-04-30 14:35:51: Екатерина добавил(-а) тег страт-п-с-26-09"/>
    <x v="0"/>
    <x v="3"/>
    <x v="3"/>
  </r>
  <r>
    <n v="311"/>
    <s v="ЛИЧНО сентябрь 24.09.2026"/>
    <s v="Дивизион Конференции"/>
    <s v="К работе"/>
    <m/>
    <m/>
    <s v="Екатерина"/>
    <s v="2.09. Подытожить результаты кабинетного исследования и глубинных интервью"/>
    <s v="08.06.2026 03:00"/>
    <x v="17"/>
    <m/>
    <s v="Действие"/>
    <s v="Низкий"/>
    <s v="N"/>
    <m/>
    <s v="28.04.2026 16:14:22"/>
    <m/>
    <m/>
    <s v="Екатерина"/>
    <m/>
    <m/>
    <s v="N"/>
    <s v="N"/>
    <m/>
    <x v="9"/>
    <m/>
    <s v="2026-04-28 16:14:22: Екатерина создал(-а) задачу;_x000a_2026-04-28 17:15:11: Екатерина изменил(-а) название на 2.09. Подытожить результаты кабинетного исследования и глубинных интервью;_x000a_2026-04-28 19:43:44: Екатерина добавил(-а) тег PRE;_x000a_2026-04-28 19:43:46: Екатерина добавил(-а) тег страт-п-с-26-09;_x000a_2026-04-28 19:43:47: Екатерина добавил(-а) тег ШП;_x000a_2026-04-28 19:43:49: Екатерина добавил(-а) тег Продюсер;_x000a_2026-04-28 19:44:16: Екатерина убрал(-а) тег ШП;_x000a_2026-04-28 19:48:04: Екатерина изменил(-а) дату на 08.06.2026;_x000a_2026-04-28 19:48:07: Екатерина изменил(-а) дату на 08.06.2026 - 08.06.2026;_x000a_2026-04-28 19:48:08: Екатерина изменил(-а) дату на 08.06.2026 - 11.06.2026;_x000a_2026-04-30 14:35:30: Екатерина убрал(-а) тег страт-п-с-26-09;_x000a_2026-04-30 14:35:33: Екатерина добавил(-а) тег страт-п-с-26-09"/>
    <x v="0"/>
    <x v="3"/>
    <x v="3"/>
  </r>
  <r>
    <n v="308"/>
    <s v="ЛИЧНО сентябрь 24.09.2026"/>
    <s v="Дивизион Конференции"/>
    <s v="К работе"/>
    <m/>
    <m/>
    <s v="Екатерина"/>
    <s v="2.06. Провести 40% глубинных интервью"/>
    <s v="01.06.2026 03:00"/>
    <x v="1"/>
    <m/>
    <s v="Действие"/>
    <s v="Низкий"/>
    <s v="N"/>
    <m/>
    <s v="28.04.2026 16:13:47"/>
    <m/>
    <m/>
    <s v="Екатерина"/>
    <m/>
    <m/>
    <s v="N"/>
    <s v="N"/>
    <m/>
    <x v="9"/>
    <m/>
    <s v="2026-04-28 16:13:47: Екатерина создал(-а) задачу;_x000a_2026-04-28 17:14:48: Екатерина изменил(-а) название на 2.06. Провести 40% глубинных интервью;_x000a_2026-04-28 19:40:41: Екатерина добавил(-а) тег PRE;_x000a_2026-04-28 19:41:06: Екатерина добавил(-а) тег Продюсер;_x000a_2026-04-28 19:41:09: Екатерина добавил(-а) тег страт-п-с-26-09;_x000a_2026-04-28 19:46:16: Екатерина изменил(-а) дату на 04.06.2026 - 04.06.2026;_x000a_2026-04-28 19:46:16: Екатерина изменил(-а) дату на 01.06.2026 - 01.06.2026;_x000a_2026-04-28 19:46:32: Екатерина изменил(-а) дату на 01.06.2026 - 04.06.2026;_x000a_2026-04-28 19:46:34: Екатерина изменил(-а) дату на 04.06.2026 - 04.06.2026;_x000a_2026-04-28 19:46:52: Екатерина изменил(-а) дату на 01.06.2026 - 04.06.2026;_x000a_2026-04-28 19:46:54: Екатерина изменил(-а) дату на 04.06.2026 - 04.06.2026;_x000a_2026-04-28 19:47:08: Екатерина изменил(-а) дату на 01.06.2026 - 04.06.2026;_x000a_2026-04-29 10:35:45: Екатерина добавил(-а) подзадачу #307 2.05. Провести конкурентный анализ"/>
    <x v="0"/>
    <x v="3"/>
    <x v="3"/>
  </r>
  <r>
    <n v="307"/>
    <s v="ЛИЧНО сентябрь 24.09.2026"/>
    <s v="Дивизион Конференции"/>
    <s v="К работе"/>
    <s v="2.06. Провести 40% глубинных интервью"/>
    <s v="2.06. Провести 40% глубинных интервью"/>
    <s v="Екатерина"/>
    <s v="2.05. Провести конкурентный анализ"/>
    <s v="01.06.2026 03:00"/>
    <x v="1"/>
    <m/>
    <s v="Действие"/>
    <s v="Низкий"/>
    <s v="N"/>
    <m/>
    <s v="28.04.2026 16:13:33"/>
    <m/>
    <m/>
    <s v="Екатерина"/>
    <m/>
    <m/>
    <s v="N"/>
    <s v="N"/>
    <m/>
    <x v="9"/>
    <m/>
    <s v="2026-04-28 16:13:34: Екатерина создал(-а) задачу;_x000a_2026-04-28 17:14:26: Екатерина изменил(-а) название на 2.05. Провести конкурентный анализ;_x000a_2026-04-28 19:39:56: Екатерина добавил(-а) тег PRE;_x000a_2026-04-28 19:40:47: Екатерина добавил(-а) тег Продюсер;_x000a_2026-04-28 19:40:48: Екатерина добавил(-а) тег страт-п-с-26-09;_x000a_2026-04-28 19:46:09: Екатерина изменил(-а) дату на 01.06.2026 - 01.06.2026;_x000a_2026-04-28 19:46:09: Екатерина изменил(-а) дату на 04.06.2026 - 04.06.2026;_x000a_2026-04-28 19:46:25: Екатерина изменил(-а) дату на 01.06.2026 - 04.06.2026;_x000a_2026-04-29 10:35:45: Екатерина изменил(-а) родительскую задачу на #308 2.06. Провести 40% глубинных интервью"/>
    <x v="0"/>
    <x v="3"/>
    <x v="3"/>
  </r>
  <r>
    <n v="306"/>
    <s v="ЛИЧНО сентябрь 24.09.2026"/>
    <s v="Дивизион Конференции"/>
    <s v="К работе"/>
    <m/>
    <m/>
    <s v="Екатерина"/>
    <s v="2.04. Провести кабинетное исследование"/>
    <s v="01.06.2026 03:00"/>
    <x v="1"/>
    <m/>
    <s v="Действие"/>
    <s v="Низкий"/>
    <s v="N"/>
    <m/>
    <s v="28.04.2026 16:13:25"/>
    <m/>
    <m/>
    <s v="Екатерина"/>
    <m/>
    <m/>
    <s v="N"/>
    <s v="N"/>
    <m/>
    <x v="9"/>
    <m/>
    <s v="2026-04-28 16:13:25: Екатерина создал(-а) задачу;_x000a_2026-04-28 17:14:12: Екатерина изменил(-а) название на 2.04. Провести кабинетное исследование;_x000a_2026-04-28 19:39:53: Екатерина добавил(-а) тег PRE;_x000a_2026-04-28 19:40:25: Екатерина добавил(-а) тег Продюсер;_x000a_2026-04-28 19:40:26: Екатерина добавил(-а) тег страт-п-с-26-09;_x000a_2026-04-28 19:45:54: Екатерина изменил(-а) дату на 01.06.2026;_x000a_2026-04-28 19:45:54: Екатерина изменил(-а) дату на 04.06.2026;_x000a_2026-04-28 19:46:00: Екатерина изменил(-а) дату на 01.06.2026 - 04.06.2026"/>
    <x v="0"/>
    <x v="3"/>
    <x v="3"/>
  </r>
  <r>
    <n v="305"/>
    <s v="ЛИЧНО сентябрь 24.09.2026"/>
    <s v="Дивизион Конференции"/>
    <s v="К работе"/>
    <m/>
    <m/>
    <s v="Екатерина"/>
    <s v="2.03. Утвердить с ШП пакеты на возможность реализации на площадке"/>
    <s v="25.05.2026 03:00"/>
    <x v="18"/>
    <m/>
    <s v="Действие"/>
    <s v="Низкий"/>
    <s v="N"/>
    <m/>
    <s v="28.04.2026 16:12:56"/>
    <m/>
    <m/>
    <s v="Екатерина"/>
    <m/>
    <m/>
    <s v="N"/>
    <s v="N"/>
    <m/>
    <x v="9"/>
    <m/>
    <s v="2026-04-28 16:12:58: Екатерина создал(-а) задачу;_x000a_2026-04-28 17:13:57: Екатерина изменил(-а) название на 2.03. Утвердить с ШП пакеты на возможность реализации на площадке;_x000a_2026-04-28 19:25:13: Екатерина добавил(-а) тег PRE;_x000a_2026-04-28 19:40:04: Екатерина добавил(-а) тег Продюсер;_x000a_2026-04-28 19:40:06: Екатерина добавил(-а) тег страт-п-с-26-09;_x000a_2026-04-28 19:45:35: Екатерина изменил(-а) дату на 25.05.2026;_x000a_2026-04-28 19:45:35: Екатерина изменил(-а) дату на 25.05.2026 - 25.05.2026;_x000a_2026-04-28 19:45:38: Екатерина изменил(-а) дату на 25.05.2026 - 28.05.2026"/>
    <x v="0"/>
    <x v="3"/>
    <x v="3"/>
  </r>
  <r>
    <n v="303"/>
    <s v="ЛИЧНО сентябрь 24.09.2026"/>
    <s v="Дивизион Конференции"/>
    <s v="К работе"/>
    <m/>
    <m/>
    <s v="Екатерина"/>
    <s v="Страт-п-с-26-09 Финиш вехи Пост"/>
    <s v="28.09.2026 03:00"/>
    <x v="0"/>
    <m/>
    <s v="Действие"/>
    <s v="Низкий"/>
    <s v="N"/>
    <m/>
    <s v="28.04.2026 16:06:48"/>
    <m/>
    <s v="Елена"/>
    <s v="Екатерина, Елена"/>
    <m/>
    <m/>
    <s v="N"/>
    <s v="N"/>
    <m/>
    <x v="10"/>
    <m/>
    <s v="2026-04-28 16:06:49: Екатерина создал(-а) задачу;_x000a_2026-04-28 16:07:27: Екатерина добавил(-а) тег страт-п-с-26-09;_x000a_2026-04-28 16:07:31: Екатерина добавил(-а) тег Операционный директор;_x000a_2026-04-28 16:07:47: Екатерина изменил(-а) дату на 28.09.2026;_x000a_2026-04-28 16:07:49: Екатерина изменил(-а) дату на 01.10.2026;_x000a_2026-04-28 16:07:53: Екатерина изменил(-а) дату на 28.09.2026 - 01.10.2026;_x000a_2026-04-28 16:08:28: Екатерина изменил(-а) название на Финиш вехи Пост;_x000a_2026-04-28 16:31:23: Екатерина добавил(-а) тег финиш вехи Post;_x000a_2026-04-28 16:35:26: Екатерина изменил(-а) название на СтратФиниш вехи Пост;_x000a_2026-04-28 16:35:31: Екатерина изменил(-а) название на Страт-пФиниш вехи Пост;_x000a_2026-04-28 16:35:34: Екатерина изменил(-а) название на Страт-п-сФиниш вехи Пост;_x000a_2026-04-28 16:35:40: Екатерина изменил(-а) название на Страт-п-с-26Финиш вехи Пост;_x000a_2026-04-28 16:35:44: Екатерина изменил(-а) название на Страт-п-с-26-09 Финиш вехи Пост;_x000a_2026-04-28 16:35:53: Екатерина изменил(-а) название на Лично Страт-п-с-26-09 Финиш вехи Пост;_x000a_2026-04-28 16:35:54: Екатерина изменил(-а) название на Лично сенСтрат-п-с-26-09 Финиш вехи Пост;_x000a_2026-04-28 16:35:57: Екатерина изменил(-а) название на Лично сентябрь 2026 Страт-п-с-26-09 Финиш вехи Пост;_x000a_2026-04-28 16:36:10: Екатерина изменил(-а) название на Страт-п-с-26-09 Финиш вехи Пост;_x000a_2026-04-30 10:51:34: Екатерина назначил(-а) Нелли исполнителем;_x000a_2026-04-30 10:51:44: Екатерина отстранил(-а) Нелли от задачи;_x000a_2026-04-30 10:52:03: Екатерина назначил(-а) Елена исполнителем"/>
    <x v="0"/>
    <x v="4"/>
    <x v="4"/>
  </r>
  <r>
    <n v="302"/>
    <s v="ЛИЧНО сентябрь 24.09.2026"/>
    <s v="Дивизион Конференции"/>
    <s v="К работе"/>
    <m/>
    <m/>
    <s v="Екатерина"/>
    <s v="Страт-п-с-26-09 Старт вехи Pro"/>
    <s v="27.07.2026 03:00"/>
    <x v="14"/>
    <m/>
    <s v="Действие"/>
    <s v="Низкий"/>
    <s v="N"/>
    <m/>
    <s v="28.04.2026 15:53:36"/>
    <m/>
    <s v="Елена"/>
    <s v="Екатерина, Елена"/>
    <m/>
    <m/>
    <s v="N"/>
    <s v="N"/>
    <m/>
    <x v="11"/>
    <m/>
    <s v="2026-04-28 15:53:36: Екатерина создал(-а) задачу;_x000a_2026-04-28 15:53:46: Екатерина добавил(-а) тег страт-п-с-26-09;_x000a_2026-04-28 15:53:49: Екатерина добавил(-а) тег Операционный директор;_x000a_2026-04-28 15:54:27: Екатерина изменил(-а) дату на 27.07.2026;_x000a_2026-04-28 15:54:32: Екатерина изменил(-а) дату на 27.07.2026 - 27.07.2026;_x000a_2026-04-28 15:54:36: Екатерина изменил(-а) дату на 27.07.2026 - 30.07.2026;_x000a_2026-04-28 15:54:48: Екатерина изменил(-а) название на 0Старт вехи Pro;_x000a_2026-04-28 15:54:50: Екатерина изменил(-а) название на 0.Старт вехи Pro;_x000a_2026-04-28 15:54:55: Екатерина изменил(-а) название на 0.2. Старт вехи Pro;_x000a_2026-04-28 15:54:56: Екатерина изменил(-а) название на 0.2.Старт вехи Pro;_x000a_2026-04-28 15:55:33: Екатерина изменил(-а) название на 0.2. Старт вехи Pro;_x000a_2026-04-28 16:08:16: Екатерина изменил(-а) название на Старт вехи Pro;_x000a_2026-04-28 16:30:32: Екатерина добавил(-а) тег старт вехи Pro;_x000a_2026-04-28 16:31:00: Екатерина добавил(-а) тег финиш вехи Post;_x000a_2026-04-28 16:31:17: Екатерина убрал(-а) тег финиш вехи Post;_x000a_2026-04-28 16:36:29: Екатерина изменил(-а) название на Страт-п-с-26-09Старт вехи Pro;_x000a_2026-04-28 16:36:30: Екатерина изменил(-а) название на Страт-п-с-26-09 Старт вехи Pro;_x000a_2026-04-30 10:52:02: Екатерина назначил(-а) Елена исполнителем"/>
    <x v="0"/>
    <x v="5"/>
    <x v="4"/>
  </r>
  <r>
    <n v="301"/>
    <s v="ЛИЧНО сентябрь 24.09.2026"/>
    <s v="Дивизион Конференции"/>
    <s v="К работе"/>
    <m/>
    <m/>
    <s v="Екатерина"/>
    <s v="Страт-п-с-26-09 Старт вехи Pre"/>
    <s v="18.05.2026 03:00"/>
    <x v="20"/>
    <m/>
    <s v="Действие"/>
    <s v="Низкий"/>
    <s v="N"/>
    <m/>
    <s v="28.04.2026 15:47:42"/>
    <m/>
    <s v="Елена"/>
    <s v="Екатерина, Елена"/>
    <m/>
    <m/>
    <s v="N"/>
    <s v="N"/>
    <m/>
    <x v="12"/>
    <m/>
    <s v="2026-04-28 15:47:42: Екатерина создал(-а) задачу;_x000a_2026-04-28 15:47:57: Екатерина добавил(-а) тег страт-п-с-26-09;_x000a_2026-04-28 15:47:57: Екатерина добавил(-а) тег ШП;_x000a_2026-04-28 15:48:04: Екатерина убрал(-а) тег ШП;_x000a_2026-04-28 15:48:26: Екатерина добавил(-а) тег Операционный директор;_x000a_2026-04-28 15:49:18: Екатерина изменил(-а) дату на 18.05.2026;_x000a_2026-04-28 15:49:19: Екатерина изменил(-а) дату на 21.05.2026;_x000a_2026-04-28 15:49:20: Екатерина изменил(-а) дату на 18.05.2026;_x000a_2026-04-28 15:49:23: Екатерина изменил(-а) дату на 18.05.2026 - 18.05.2026;_x000a_2026-04-28 15:49:25: Екатерина изменил(-а) дату на 18.05.2026 - 21.05.2026;_x000a_2026-04-28 15:55:20: Екатерина изменил(-а) название на 0Старт вехи Pre;_x000a_2026-04-28 15:55:22: Екатерина изменил(-а) название на 0.1.Старт вехи Pre;_x000a_2026-04-28 15:55:25: Екатерина изменил(-а) название на 0.1. Старт вехи Pre;_x000a_2026-04-28 16:07:15: Екатерина изменил(-а) название на Старт вехи Pre;_x000a_2026-04-28 16:30:13: Екатерина добавил(-а) тег Старт вехи Pre;_x000a_2026-04-28 16:36:36: Екатерина изменил(-а) название на Страт-п-с-26-09Старт вехи Pre;_x000a_2026-04-28 16:36:36: Екатерина изменил(-а) название на Страт-п-с-26-09 Старт вехи Pre;_x000a_2026-04-30 10:51:58: Екатерина назначил(-а) Елена исполнителем"/>
    <x v="0"/>
    <x v="6"/>
    <x v="4"/>
  </r>
  <r>
    <n v="300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10. Произвести сверку  наличия брони по площадке - сверяем с годовым планом по бронированию мест проведения"/>
    <s v="18.05.2026 03:00"/>
    <x v="3"/>
    <m/>
    <s v="Действие"/>
    <s v="Низкий"/>
    <s v="N"/>
    <m/>
    <s v="28.04.2026 15:43:55"/>
    <m/>
    <m/>
    <s v="Екатерина"/>
    <m/>
    <m/>
    <s v="N"/>
    <s v="N"/>
    <m/>
    <x v="2"/>
    <m/>
    <s v="2026-04-28 15:43:55: Екатерина создал(-а) задачу;_x000a_2026-04-28 19:36:07: Екатерина изменил(-а) дату на 18.05.2026 - 18.05.2026;_x000a_2026-04-28 19:36:10: Екатерина изменил(-а) дату на 18.05.2026 - 19.05.2026;_x000a_2026-04-28 19:38:53: Екатерина добавил(-а) задачу в проект ЛИЧНО сентябрь 24.09.2026"/>
    <x v="0"/>
    <x v="2"/>
    <x v="2"/>
  </r>
  <r>
    <n v="299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"/>
    <s v="18.05.2026 03:00"/>
    <x v="3"/>
    <m/>
    <s v="Действие"/>
    <s v="Низкий"/>
    <s v="N"/>
    <m/>
    <s v="28.04.2026 15:43:45"/>
    <m/>
    <m/>
    <s v="Екатерина"/>
    <m/>
    <m/>
    <s v="N"/>
    <s v="N"/>
    <m/>
    <x v="2"/>
    <m/>
    <s v="2026-04-28 15:43:45: Екатерина создал(-а) задачу;_x000a_2026-04-28 19:35:55: Екатерина изменил(-а) дату на 18.05.2026;_x000a_2026-04-28 19:35:58: Екатерина изменил(-а) дату на 18.05.2026 - 18.05.2026;_x000a_2026-04-28 19:36:01: Екатерина изменил(-а) дату на 18.05.2026 - 19.05.2026;_x000a_2026-04-28 19:38:48: Екатерина добавил(-а) задачу в проект ЛИЧНО сентябрь 24.09.2026"/>
    <x v="0"/>
    <x v="2"/>
    <x v="2"/>
  </r>
  <r>
    <n v="298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8. Проанализированы косяки предыдущего мероприятия"/>
    <s v="18.05.2026 03:00"/>
    <x v="3"/>
    <m/>
    <s v="Действие"/>
    <s v="Низкий"/>
    <s v="N"/>
    <m/>
    <s v="28.04.2026 15:43:34"/>
    <m/>
    <m/>
    <s v="Екатерина"/>
    <m/>
    <m/>
    <s v="N"/>
    <s v="N"/>
    <m/>
    <x v="2"/>
    <m/>
    <s v="2026-04-28 15:43:34: Екатерина создал(-а) задачу;_x000a_2026-04-28 19:35:39: Екатерина изменил(-а) дату на 18.05.2026;_x000a_2026-04-28 19:35:43: Екатерина изменил(-а) дату на 18.05.2026 - 18.05.2026;_x000a_2026-04-28 19:35:46: Екатерина изменил(-а) дату на 18.05.2026 - 19.05.2026;_x000a_2026-04-28 19:38:44: Екатерина добавил(-а) задачу в проект ЛИЧНО сентябрь 24.09.2026"/>
    <x v="0"/>
    <x v="2"/>
    <x v="2"/>
  </r>
  <r>
    <n v="297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7. Протокол совещания подписать с шеф-продюсером и положить в специальную папку, обозначенную именем проекта и годом проведения"/>
    <s v="18.05.2026 03:00"/>
    <x v="3"/>
    <m/>
    <s v="Действие"/>
    <s v="Низкий"/>
    <s v="N"/>
    <m/>
    <s v="28.04.2026 15:43:23"/>
    <m/>
    <m/>
    <s v="Екатерина"/>
    <m/>
    <m/>
    <s v="N"/>
    <s v="N"/>
    <m/>
    <x v="2"/>
    <m/>
    <s v="2026-04-28 15:43:23: Екатерина создал(-а) задачу;_x000a_2026-04-28 19:33:52: Екатерина изменил(-а) дату на 18.05.2026;_x000a_2026-04-28 19:33:54: Екатерина изменил(-а) дату на 19.05.2026;_x000a_2026-04-28 19:33:56: Екатерина изменил(-а) дату на 18.05.2026 - 19.05.2026;_x000a_2026-04-28 19:38:40: Екатерина добавил(-а) задачу в проект ЛИЧНО сентябрь 24.09.2026"/>
    <x v="0"/>
    <x v="2"/>
    <x v="2"/>
  </r>
  <r>
    <n v="296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6. Сформировать Протокол совещания,  в котором подитожены все предыдущие пункты"/>
    <s v="18.05.2026 03:00"/>
    <x v="3"/>
    <m/>
    <s v="Действие"/>
    <s v="Низкий"/>
    <s v="N"/>
    <m/>
    <s v="28.04.2026 15:43:04"/>
    <m/>
    <m/>
    <s v="Екатерина"/>
    <m/>
    <m/>
    <s v="N"/>
    <s v="N"/>
    <m/>
    <x v="2"/>
    <m/>
    <s v="2026-04-28 15:43:05: Екатерина создал(-а) задачу;_x000a_2026-04-28 19:33:27: Екатерина изменил(-а) дату на 18.05.2026;_x000a_2026-04-28 19:33:30: Екатерина изменил(-а) дату на 18.05.2026 - 18.05.2026;_x000a_2026-04-28 19:33:32: Екатерина изменил(-а) дату на 18.05.2026 - 19.05.2026;_x000a_2026-04-28 19:33:37: Екатерина изменил(-а) дату на 19.05.2026 - 19.05.2026;_x000a_2026-04-28 19:33:42: Екатерина изменил(-а) дату на 18.05.2026 - 19.05.2026;_x000a_2026-04-28 19:38:33: Екатерина добавил(-а) задачу в проект ЛИЧНО сентябрь 24.09.2026"/>
    <x v="0"/>
    <x v="2"/>
    <x v="2"/>
  </r>
  <r>
    <n v="295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5. Определить  Целевую аудитория мероприятия"/>
    <s v="18.05.2026 03:00"/>
    <x v="3"/>
    <m/>
    <s v="Действие"/>
    <s v="Низкий"/>
    <s v="N"/>
    <m/>
    <s v="28.04.2026 15:42:48"/>
    <m/>
    <m/>
    <s v="Екатерина"/>
    <m/>
    <m/>
    <s v="N"/>
    <s v="N"/>
    <m/>
    <x v="2"/>
    <m/>
    <s v="2026-04-28 15:42:48: Екатерина создал(-а) задачу;_x000a_2026-04-28 19:33:02: Екатерина изменил(-а) дату на 18.05.2026;_x000a_2026-04-28 19:33:04: Екатерина изменил(-а) дату на 19.05.2026;_x000a_2026-04-28 19:33:05: Екатерина изменил(-а) дату на 18.05.2026;_x000a_2026-04-28 19:33:08: Екатерина изменил(-а) дату на 18.05.2026 - 18.05.2026;_x000a_2026-04-28 19:33:09: Екатерина изменил(-а) дату на 18.05.2026 - 19.05.2026;_x000a_2026-04-28 19:38:30: Екатерина добавил(-а) задачу в проект ЛИЧНО сентябрь 24.09.2026"/>
    <x v="0"/>
    <x v="2"/>
    <x v="2"/>
  </r>
  <r>
    <n v="294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"/>
    <s v="18.05.2026 03:00"/>
    <x v="3"/>
    <m/>
    <s v="Действие"/>
    <s v="Низкий"/>
    <s v="N"/>
    <m/>
    <s v="28.04.2026 15:42:34"/>
    <m/>
    <m/>
    <s v="Екатерина"/>
    <m/>
    <m/>
    <s v="N"/>
    <s v="N"/>
    <m/>
    <x v="2"/>
    <m/>
    <s v="2026-04-28 15:42:34: Екатерина создал(-а) задачу;_x000a_2026-04-28 19:32:47: Екатерина изменил(-а) дату на 18.05.2026;_x000a_2026-04-28 19:32:50: Екатерина изменил(-а) дату на 18.05.2026 - 18.05.2026;_x000a_2026-04-28 19:32:53: Екатерина изменил(-а) дату на 18.05.2026 - 19.05.2026;_x000a_2026-04-28 19:38:27: Екатерина добавил(-а) задачу в проект ЛИЧНО сентябрь 24.09.2026"/>
    <x v="0"/>
    <x v="2"/>
    <x v="2"/>
  </r>
  <r>
    <n v="293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3. Согласовать дату совещания с участниками"/>
    <s v="18.05.2026 03:00"/>
    <x v="3"/>
    <m/>
    <s v="Действие"/>
    <s v="Низкий"/>
    <s v="N"/>
    <m/>
    <s v="28.04.2026 15:41:50"/>
    <m/>
    <m/>
    <s v="Екатерина"/>
    <m/>
    <m/>
    <s v="N"/>
    <s v="N"/>
    <m/>
    <x v="2"/>
    <m/>
    <s v="2026-04-28 15:41:50: Екатерина создал(-а) задачу;_x000a_2026-04-28 19:24:09: Екатерина изменил(-а) дату на 18.05.2026;_x000a_2026-04-28 19:24:09: Екатерина изменил(-а) дату на 19.05.2026;_x000a_2026-04-28 19:24:13: Екатерина изменил(-а) дату на 18.05.2026 - 19.05.2026;_x000a_2026-04-28 19:38:23: Екатерина добавил(-а) задачу в проект ЛИЧНО сентябрь 24.09.2026;_x000a_2026-04-28 19:39:11: Екатерина переместил(-а) задачу в проекте ЛИЧНО сентябрь 24.09.2026 в колонку Дивизион Конференции / К работе;_x000a_2026-04-28 19:39:25: Екатерина снял(-а) задачу с доски в проекте ЛИЧНО сентябрь 24.09.2026"/>
    <x v="0"/>
    <x v="2"/>
    <x v="2"/>
  </r>
  <r>
    <n v="292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2.1.2. Назначить дату совещания"/>
    <s v="18.05.2026 03:00"/>
    <x v="3"/>
    <m/>
    <s v="Действие"/>
    <s v="Низкий"/>
    <s v="N"/>
    <m/>
    <s v="28.04.2026 15:41:43"/>
    <m/>
    <m/>
    <s v="Екатерина"/>
    <m/>
    <m/>
    <s v="N"/>
    <s v="N"/>
    <m/>
    <x v="2"/>
    <m/>
    <s v="2026-04-28 15:41:43: Екатерина создал(-а) задачу;_x000a_2026-04-28 16:28:32: Екатерина изменил(-а) дату на 20.06.2026;_x000a_2026-04-28 19:23:17: Екатерина изменил(-а) дату на 18.05.2026;_x000a_2026-04-28 19:23:20: Екатерина изменил(-а) дату на 18.05.2026 - 18.05.2026;_x000a_2026-04-28 19:23:22: Екатерина изменил(-а) дату на 18.05.2026 - 19.05.2026;_x000a_2026-04-28 19:38:17: Екатерина добавил(-а) задачу в проект ЛИЧНО сентябрь 24.09.2026;_x000a_2026-04-28 19:39:08: Екатерина переместил(-а) задачу в проекте ЛИЧНО сентябрь 24.09.2026 в колонку Дивизион Конференции / К работе;_x000a_2026-04-28 19:39:22: Екатерина снял(-а) задачу с доски в проекте ЛИЧНО сентябрь 24.09.2026"/>
    <x v="0"/>
    <x v="2"/>
    <x v="2"/>
  </r>
  <r>
    <n v="291"/>
    <s v="ЛИЧНО сентябрь 24.09.2026"/>
    <m/>
    <m/>
    <s v="2.01. Провести Презентацию проекта на Первичном совещании"/>
    <s v="2.01. Провести Презентацию проекта на Первичном совещании"/>
    <s v="Екатерина"/>
    <s v="0/10_x000a_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"/>
    <s v="18.05.2026 03:00"/>
    <x v="3"/>
    <m/>
    <s v="Действие"/>
    <s v="Низкий"/>
    <s v="N"/>
    <m/>
    <s v="28.04.2026 15:41:35"/>
    <m/>
    <m/>
    <s v="Екатерина"/>
    <m/>
    <m/>
    <s v="N"/>
    <s v="N"/>
    <m/>
    <x v="2"/>
    <m/>
    <s v="2026-04-28 15:41:35: Екатерина создал(-а) задачу;_x000a_2026-04-28 19:22:57: Екатерина изменил(-а) дату на 19.05.2026;_x000a_2026-04-28 19:22:57: Екатерина изменил(-а) дату на 18.05.2026;_x000a_2026-04-28 19:23:00: Екатерина изменил(-а) дату на 18.05.2026 - 18.05.2026;_x000a_2026-04-28 19:23:02: Екатерина изменил(-а) дату на 18.05.2026 - 19.05.2026;_x000a_2026-04-28 19:38:14: Екатерина добавил(-а) задачу в проект ЛИЧНО сентябрь 24.09.2026;_x000a_2026-04-28 19:39:05: Екатерина переместил(-а) задачу в проекте ЛИЧНО сентябрь 24.09.2026 в колонку Дивизион Конференции / К работе;_x000a_2026-04-28 19:39:19: Екатерина снял(-а) задачу с доски в проекте ЛИЧНО сентябрь 24.09.2026"/>
    <x v="0"/>
    <x v="2"/>
    <x v="2"/>
  </r>
  <r>
    <n v="290"/>
    <s v="ЛИЧНО сентябрь 24.09.2026"/>
    <s v="Дивизион Конференции"/>
    <s v="К работе"/>
    <m/>
    <m/>
    <s v="Екатерина"/>
    <s v="2.01. Провести Презентацию проекта на Первичном совещании"/>
    <s v="18.05.2026 03:00"/>
    <x v="3"/>
    <m/>
    <s v="Действие"/>
    <s v="Низкий"/>
    <s v="N"/>
    <m/>
    <s v="28.04.2026 15:40:18"/>
    <m/>
    <m/>
    <s v="Екатерина"/>
    <m/>
    <m/>
    <s v="N"/>
    <s v="N"/>
    <m/>
    <x v="9"/>
    <m/>
    <s v="2026-04-28 15:40:19: Екатерина создал(-а) задачу;_x000a_2026-04-28 15:41:35: Екатерина добавил(-а) подзадачу #291 0/10_x000a_2.1.1. Определить состав участников Совещания в зависимости от нового/старого формата - согласно инструкции, описанной в Методичке (от лидгена Рук и лидген);_x000a_2026-04-28 15:41:43: Екатерина добавил(-а) подзадачу #292 2.1.2. Назначить дату совещания;_x000a_2026-04-28 15:41:50: Екатерина добавил(-а) подзадачу #293 2.1.3. Согласовать дату совещания с участниками;_x000a_2026-04-28 15:42:34: Екатерина добавил(-а) подзадачу #294 2.1.4. Провести Первичное совещание и зафиксировать 7 вводных по проекту согласно методичке продюсера : Название заказчика, Название мероприятия, дата, время и место проведения мероприятия, Количество человек-участников (включая бесплатных участников;_x000a_2026-04-28 15:42:48: Екатерина добавил(-а) подзадачу #295 2.1.5. Определить Целевую аудитория мероприятия;_x000a_2026-04-28 15:43:05: Екатерина добавил(-а) подзадачу #296 2.1.6. Сформировать Протокол совещания, в котором подитожены все предыдущие пункты;_x000a_2026-04-28 15:43:23: Екатерина добавил(-а) подзадачу #297 2.1.7. Протокол совещания подписать с шеф-продюсером и положить в специальную папку, обозначенную именем проекта и годом проведения;_x000a_2026-04-28 15:43:34: Екатерина добавил(-а) подзадачу #298 2.1.8. Проанализированы косяки предыдущего мероприятия;_x000a_2026-04-28 15:43:45: Екатерина добавил(-а) подзадачу #299 2.1.9. Просмотреть Маркетинговый отчет подготовленный лидгеном (включающий отчет по источникам и каналам и отчет по отказам), даны комментарии по подготовке списка каналов;_x000a_2026-04-28 15:43:55: Екатерина добавил(-а) подзадачу #300 2.1.10. Произвести сверку наличия брони по площадке - сверяем с годовым планом по бронированию мест проведения;_x000a_2026-04-28 15:44:12: Екатерина добавил(-а) тег PRE;_x000a_2026-04-28 15:44:26: Екатерина добавил(-а) тег Продюсер;_x000a_2026-04-28 15:44:54: Екатерина добавил(-а) тег страт-п-с-26-09;_x000a_2026-04-28 15:45:02: Екатерина убрал(-а) тег страт-п-с-26-09;_x000a_2026-04-28 15:45:03: Екатерина добавил(-а) тег старт вехи Pro;_x000a_2026-04-28 15:45:57: Екатерина убрал(-а) тег старт вехи Pro;_x000a_2026-04-28 15:46:00: Екатерина добавил(-а) тег страт-п-с-26-09;_x000a_2026-04-28 16:11:32: Екатерина изменил(-а) дату на 18.05.2026;_x000a_2026-04-28 16:11:35: Екатерина изменил(-а) дату на 21.05.2026;_x000a_2026-04-28 16:11:38: Екатерина изменил(-а) дату на 18.05.2026;_x000a_2026-04-28 16:11:41: Екатерина изменил(-а) дату на 18.05.2026 - 18.05.2026;_x000a_2026-04-28 16:11:42: Екатерина изменил(-а) дату на 18.05.2026 - 19.05.2026;_x000a_2026-04-28 17:13:35: Екатерина изменил(-а) название на 2.01. Провести Презентацию проекта на Первичном совещании"/>
    <x v="0"/>
    <x v="3"/>
    <x v="3"/>
  </r>
  <r>
    <n v="211"/>
    <s v="ЛИЧНО сентябрь 24.09.2026"/>
    <s v="Дивизион Конференции"/>
    <s v="К работе"/>
    <m/>
    <m/>
    <s v="Екатерина"/>
    <s v="4.02. Получить от продюсера Тизер на разработку сайта"/>
    <s v="25.05.2026 03:00"/>
    <x v="18"/>
    <m/>
    <s v="Действие"/>
    <s v="Низкий"/>
    <s v="N"/>
    <m/>
    <s v="28.04.2026 11:48:42"/>
    <m/>
    <m/>
    <s v="Екатерина"/>
    <m/>
    <m/>
    <s v="N"/>
    <s v="N"/>
    <m/>
    <x v="1"/>
    <m/>
    <s v="2026-04-28 11:48:42: Екатерина создал(-а) задачу;_x000a_2026-04-28 11:50:10: Екатерина изменил(-а) название на 4.2. Получить от продюсера Тизер на разработку сайта;_x000a_2026-04-28 17:29:59: Екатерина изменил(-а) статус на Выполнено;_x000a_2026-04-28 17:30:01: Екатерина изменил(-а) статус на Не выполнено;_x000a_2026-04-28 18:13:25: Екатерина изменил(-а) название на 4.02. Получить от продюсера Тизер на разработку сайта;_x000a_2026-04-28 18:42:31: Екатерина переместил(-а) задачу в проекте ЛИЧНО сентябрь 24.09.2026 в колонку Дивизион Конференции / К работе;_x000a_2026-04-29 11:31:00: Екатерина изменил(-а) дату на 22.05.2026;_x000a_2026-04-29 11:31:05: Екатерина изменил(-а) дату на 22.05.2026 - 29.05.2026;_x000a_2026-04-29 11:31:08: Екатерина изменил(-а) дату на 25.05.2026 - 29.05.2026;_x000a_2026-04-29 11:31:13: Екатерина изменил(-а) дату на 25.05.2026 - 28.05.2026;_x000a_2026-04-29 13:23:19: Екатерина добавил(-а) тег PRE;_x000a_2026-04-29 13:23:21: Екатерина добавил(-а) тег лидген;_x000a_2026-04-29 13:23:22: Екатерина добавил(-а) тег страт-п-с-26-09;_x000a_2026-04-30 14:43:51: Екатерина убрал(-а) тег лидген;_x000a_2026-04-30 14:43:52: Екатерина убрал(-а) тег страт-п-с-26-09;_x000a_2026-04-30 14:43:59: Екатерина добавил(-а) тег Лидген;_x000a_2026-04-30 14:44:00: Екатерина добавил(-а) тег страт-п-с-26-09"/>
    <x v="0"/>
    <x v="1"/>
    <x v="1"/>
  </r>
  <r>
    <n v="210"/>
    <s v="ЛИЧНО сентябрь 24.09.2026"/>
    <s v="Дивизион Конференции"/>
    <s v="К работе"/>
    <m/>
    <m/>
    <s v="Екатерина"/>
    <s v="4.03. Подготовить семантическое ядро"/>
    <s v="01.06.2026 03:00"/>
    <x v="1"/>
    <m/>
    <s v="Действие"/>
    <s v="Низкий"/>
    <s v="N"/>
    <m/>
    <s v="28.04.2026 11:48:28"/>
    <m/>
    <m/>
    <s v="Екатерина"/>
    <m/>
    <m/>
    <s v="N"/>
    <s v="N"/>
    <m/>
    <x v="1"/>
    <m/>
    <s v="2026-04-28 11:48:29: Екатерина создал(-а) задачу;_x000a_2026-04-28 11:50:18: Екатерина изменил(-а) название на 4.3. 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8:18:15: Екатерина изменил(-а) название на 4.03. 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8:18:21: Екатерина изменил(-а) название на 4.03.;_x000a_2026-04-28 18:18:23: Екатерина изменил(-а) название на 4.03. Подготовить;_x000a_2026-04-28 18:18:28: Екатерина изменил(-а) название на 4.03. Подготовить семантическое ядро;_x000a_2026-04-28 18:18:38: Екатерина добавил(-а) подзадачу #454 4.03.1. Для проведение маркетингового анализа и разработки семантического ядра изучить полученные от продюсеров результаты кабинетного исследования;_x000a_2026-04-28 18:42:45: Екатерина переместил(-а) задачу в проекте ЛИЧНО сентябрь 24.09.2026 в колонку Дивизион Конференции / К работе;_x000a_2026-04-29 11:31:29: Екатерина изменил(-а) дату на 30.05.2026;_x000a_2026-04-29 11:31:32: Екатерина изменил(-а) дату на 30.05.2026 - 02.06.2026;_x000a_2026-04-29 11:31:34: Екатерина изменил(-а) дату на 01.06.2026 - 02.06.2026;_x000a_2026-04-29 11:31:37: Екатерина изменил(-а) дату на 01.06.2026 - 04.06.2026;_x000a_2026-04-29 13:23:25: Екатерина добавил(-а) тег PRE;_x000a_2026-04-29 13:23:27: Екатерина добавил(-а) тег лидген;_x000a_2026-04-29 13:23:28: Екатерина добавил(-а) тег страт-п-с-26-09;_x000a_2026-04-30 14:44:05: Екатерина убрал(-а) тег лидген;_x000a_2026-04-30 14:44:09: Екатерина убрал(-а) тег страт-п-с-26-09;_x000a_2026-04-30 14:44:12: Екатерина добавил(-а) тег Лидген;_x000a_2026-04-30 14:44:13: Екатерина добавил(-а) тег страт-п-с-26-09"/>
    <x v="0"/>
    <x v="1"/>
    <x v="1"/>
  </r>
  <r>
    <n v="209"/>
    <s v="ЛИЧНО сентябрь 24.09.2026"/>
    <s v="Дивизион Конференции"/>
    <s v="К работе"/>
    <m/>
    <m/>
    <s v="Екатерина"/>
    <s v="4.04. Опубликовать утвержденный с ШП Тизер сайт, настроить лид-форму _x000a_в календаре"/>
    <s v="01.06.2026 03:00"/>
    <x v="1"/>
    <m/>
    <s v="Действие"/>
    <s v="Низкий"/>
    <s v="N"/>
    <m/>
    <s v="28.04.2026 11:48:17"/>
    <m/>
    <m/>
    <s v="Екатерина"/>
    <m/>
    <m/>
    <s v="N"/>
    <s v="N"/>
    <m/>
    <x v="1"/>
    <m/>
    <s v="2026-04-28 11:48:17: Екатерина создал(-а) задачу;_x000a_2026-04-28 11:50:27: Екатерина изменил(-а) название на 4.4. Утвержденный с ШП Тизер сайт опубликовать, настроена лид-форма _x000a_в календаре на соответствующем сайте компании;_x000a_2026-04-28 11:50:32: Екатерина изменил(-а) название на 4.4. ОпубликоватьУтвержденный с ШП Тизер сайт опубликовать, настроена лид-форма _x000a_в календаре на соответствующем сайте компании;_x000a_2026-04-28 11:50:33: Екатерина изменил(-а) название на 4.4. Опубликовать Утвержденный с ШП Тизер сайт опубликовать, настроена лид-форма _x000a_в календаре на соответствующем сайте компании;_x000a_2026-04-28 11:50:35: Екатерина изменил(-а) название на 4.4. Опубликовать утвержденный с ШП Тизер сайт опубликовать, настроена лид-форма _x000a_в календаре на соответствующем сайте компании;_x000a_2026-04-28 11:50:40: Екатерина изменил(-а) название на 4.4. Опубликовать утвержденный с ШП Тизер сайт, настроена лид-форма _x000a_в календаре на соответствующем сайте компании;_x000a_2026-04-28 11:50:42: Екатерина изменил(-а) название на 4.4. Опубликовать утвержденный с ШП Тизер сайт, настроить лид-форма _x000a_в календаре на соответствующем сайте компании;_x000a_2026-04-28 11:50:46: Екатерина изменил(-а) название на 4.4. Опубликовать утвержденный с ШП Тизер сайт, настроить лид-форму _x000a_в календаре на соответствующем сайте компании;_x000a_2026-04-28 18:19:28: Екатерина изменил(-а) название на 4.4. Опубликовать утвержденный с ШП Тизер сайт, настроить лид-форму _x000a_в календаре;_x000a_2026-04-28 18:19:58: Екатерина изменил(-а) название на 4.04. Опубликовать утвержденный с ШП Тизер сайт, настроить лид-форму _x000a_в календаре;_x000a_2026-04-28 18:38:00: Екатерина добавил(-а) подзадачу #208 4.05. Проанализировать полученные от продюсеров результаты глубинного исследования;_x000a_2026-04-28 18:39:24: Екатерина удалил(-а) подзадачу #208 4.05. Проанализировать полученные от продюсеров результаты глубинного исследования;_x000a_2026-04-28 18:42:50: Екатерина переместил(-а) задачу в проекте ЛИЧНО сентябрь 24.09.2026 в колонку Дивизион Конференции / К работе;_x000a_2026-04-29 11:31:46: Екатерина изменил(-а) дату на 02.06.2026;_x000a_2026-04-29 11:31:48: Екатерина изменил(-а) дату на 01.06.2026 - 02.06.2026;_x000a_2026-04-29 11:31:50: Екатерина изменил(-а) дату на 01.06.2026 - 04.06.2026;_x000a_2026-04-29 13:23:33: Екатерина добавил(-а) тег PRE;_x000a_2026-04-29 13:23:35: Екатерина добавил(-а) тег лидген;_x000a_2026-04-29 13:23:36: Екатерина добавил(-а) тег страт-п-с-26-09;_x000a_2026-04-29 13:24:19: Екатерина убрал(-а) тег лидген;_x000a_2026-04-29 13:24:22: Екатерина добавил(-а) тег Лидген;_x000a_2026-04-30 14:42:38: Екатерина убрал(-а) тег страт-п-с-26-09;_x000a_2026-04-30 14:42:41: Екатерина добавил(-а) тег страт-п-с-26-09"/>
    <x v="0"/>
    <x v="1"/>
    <x v="1"/>
  </r>
  <r>
    <n v="207"/>
    <s v="ЛИЧНО сентябрь 24.09.2026"/>
    <s v="Дивизион Конференции"/>
    <s v="К работе"/>
    <m/>
    <m/>
    <s v="Екатерина"/>
    <s v="4.06. Получить от продюсеров и проанализировать Концепцию и Программу"/>
    <s v="08.06.2026 03:00"/>
    <x v="17"/>
    <m/>
    <s v="Действие"/>
    <s v="Низкий"/>
    <s v="N"/>
    <m/>
    <s v="28.04.2026 11:47:45"/>
    <m/>
    <m/>
    <s v="Екатерина"/>
    <m/>
    <m/>
    <s v="N"/>
    <s v="N"/>
    <m/>
    <x v="1"/>
    <m/>
    <s v="2026-04-28 11:47:46: Екатерина создал(-а) задачу;_x000a_2026-04-28 11:52:11: Екатерина изменил(-а) название на 4.6. Получить от продюсеров и проанализирована Концепция и Програма, заданы вопросы по логике и получены ответы;_x000a_2026-04-28 11:52:15: Екатерина изменил(-а) название на 4.6. Получить от продюсеров и проанализировать Концепция и Програма, заданы вопросы по логике и получены ответы;_x000a_2026-04-28 11:52:18: Екатерина изменил(-а) название на 4.6. Получить от продюсеров и проанализировать Концепцию и Програма, заданы вопросы по логике и получены ответы;_x000a_2026-04-28 11:52:21: Екатерина изменил(-а) название на 4.6. Получить от продюсеров и проанализировать Концепцию и Программа, заданы вопросы по логике и получены ответы;_x000a_2026-04-28 11:52:24: Екатерина изменил(-а) название на 4.6. Получить от продюсеров и проанализировать Концепцию и Программу, заданы вопросы по логике и получены ответы;_x000a_2026-04-28 11:52:28: Екатерина изменил(-а) название на 4.6. Получить от продюсеров и проанализировать Концепцию и Программу, задать вопросы по логике и получены ответы;_x000a_2026-04-28 11:52:33: Екатерина изменил(-а) название на 4.6. Получить от продюсеров и проанализировать Концепцию и Программу, задать вопросы по логике и получить ответы;_x000a_2026-04-28 18:22:12: Екатерина изменил(-а) название на 4.06. Получить от продюсеров и проанализировать Концепцию и Программу, задать вопросы по логике и получить ответы;_x000a_2026-04-28 18:22:41: Екатерина добавил(-а) подзадачу #456 4.06.1. Получить от продюсеров и проанализировать Концепцию и Программу;_x000a_2026-04-28 18:22:59: Екатерина изменил(-а) название на 4.06. Получить от продюсеров и проанализировать Концепцию и Программу;_x000a_2026-04-28 18:42:53: Екатерина переместил(-а) задачу в проекте ЛИЧНО сентябрь 24.09.2026 в колонку Дивизион Конференции / К работе;_x000a_2026-04-29 11:31:57: Екатерина изменил(-а) дату на 01.06.2026;_x000a_2026-04-29 11:32:06: Екатерина изменил(-а) дату на 01.06.2026 - 14.06.2026;_x000a_2026-04-29 11:32:09: Екатерина изменил(-а) дату на 08.06.2026 - 14.06.2026;_x000a_2026-04-29 11:32:12: Екатерина изменил(-а) дату на 08.06.2026 - 11.06.2026;_x000a_2026-04-29 13:23:47: Екатерина добавил(-а) тег PRE;_x000a_2026-04-29 13:23:49: Екатерина добавил(-а) тег Лидген;_x000a_2026-04-29 13:23:50: Екатерина добавил(-а) тег страт-п-с-26-09"/>
    <x v="0"/>
    <x v="1"/>
    <x v="1"/>
  </r>
  <r>
    <n v="205"/>
    <s v="ЛИЧНО сентябрь 24.09.2026"/>
    <s v="Дивизион Конференции"/>
    <s v="К работе"/>
    <m/>
    <m/>
    <s v="Екатерина"/>
    <s v="4.07. Пройти Обучение по Программе продюсеров и определить ЦА, логику и взаимосвязи"/>
    <s v="15.06.2026 03:00"/>
    <x v="16"/>
    <m/>
    <s v="Действие"/>
    <s v="Низкий"/>
    <s v="N"/>
    <m/>
    <s v="28.04.2026 11:46:08"/>
    <m/>
    <m/>
    <s v="Екатерина"/>
    <m/>
    <m/>
    <s v="N"/>
    <s v="N"/>
    <m/>
    <x v="1"/>
    <m/>
    <s v="2026-04-28 11:46:08: Екатерина создал(-а) задачу;_x000a_2026-04-28 11:47:25: Екатерина добавил(-а) подзадачу #206 Благодаря анализу материалов полученных на предыдущих неделях лидгеном достигнуть погруженности в тему;_x000a_2026-04-28 11:52:51: Екатерина изменил(-а) название на 4.7. Пройти Обучение по Программе продюсеров;_x000a_2026-04-28 18:23:30: Екатерина изменил(-а) название на 4.07. Пройти Обучение по Программе продюсеров;_x000a_2026-04-28 18:23:39: Екатерина добавил(-а) подзадачу #457 4.07.1. Благодаря анализу материалов полученных на предыдущих неделях лидгеном достигнуть погруженности в тему;_x000a_2026-04-28 18:27:30: Екатерина удалил(-а) подзадачу #206 Благодаря анализу материалов полученных на предыдущих неделях лидгеном достигнуть погруженности в тему;_x000a_2026-04-28 18:27:42: Екатерина удалил(-а) подзадачу #457 4.07.1. Благодаря анализу материалов полученных на предыдущих неделях лидгеном достигнуть погруженности в тему;_x000a_2026-04-28 18:28:18: Екатерина изменил(-а) название на 4.07. Пройти Обучение по Программе продюсеров и определить;_x000a_2026-04-28 18:28:21: Екатерина изменил(-а) название на 4.07. Пройти Обучение по Программе продюсеров и определить ЦА, логику;_x000a_2026-04-28 18:28:25: Екатерина изменил(-а) название на 4.07. Пройти Обучение по Программе продюсеров и определить ЦА, логику и взаимосвязи;_x000a_2026-04-28 18:42:56: Екатерина переместил(-а) задачу в проекте ЛИЧНО сентябрь 24.09.2026 в колонку Дивизион Конференции / К работе;_x000a_2026-04-29 11:32:28: Екатерина изменил(-а) дату на 14.06.2026;_x000a_2026-04-29 11:32:31: Екатерина изменил(-а) дату на 14.06.2026 - 16.06.2026;_x000a_2026-04-29 11:32:33: Екатерина изменил(-а) дату на 15.06.2026 - 16.06.2026;_x000a_2026-04-29 11:32:34: Екатерина изменил(-а) дату на 15.06.2026 - 18.06.2026;_x000a_2026-04-29 13:24:06: Екатерина добавил(-а) тег PRE;_x000a_2026-04-29 13:24:10: Екатерина добавил(-а) тег Лидген;_x000a_2026-04-29 13:24:12: Екатерина добавил(-а) тег страт-п-с-26-09;_x000a_2026-04-30 14:41:54: Екатерина убрал(-а) тег страт-п-с-26-09;_x000a_2026-04-30 14:41:58: Екатерина добавил(-а) тег страт-п-с-26-09"/>
    <x v="0"/>
    <x v="1"/>
    <x v="1"/>
  </r>
  <r>
    <n v="204"/>
    <s v="ЛИЧНО сентябрь 24.09.2026"/>
    <s v="Дивизион Конференции"/>
    <s v="К работе"/>
    <m/>
    <m/>
    <s v="Екатерина"/>
    <s v="4.08. Согласовать и утвердить с ШП,  продюсером и РГП  Медиа-план Лидгена"/>
    <s v="22.06.2026 03:00"/>
    <x v="15"/>
    <m/>
    <s v="Действие"/>
    <s v="Низкий"/>
    <s v="N"/>
    <m/>
    <s v="28.04.2026 11:45:41"/>
    <m/>
    <m/>
    <s v="Екатерина"/>
    <m/>
    <m/>
    <s v="N"/>
    <s v="N"/>
    <m/>
    <x v="1"/>
    <m/>
    <s v="2026-04-28 11:45:41: Екатерина создал(-а) задачу;_x000a_2026-04-28 11:53:14: Екатерина изменил(-а) название на 4.8. На основе понимания Программы Обучения_x000a_составить, согласован и утвержден с ШП, продюсером и РГП Медиа-план Лидгена;_x000a_2026-04-28 11:53:17: Екатерина изменил(-а) название на 4.8. На основе понимания Программы Обучения_x000a_составить, согласован и утвержден с ШП, продюсером и РГП Медиа-план Лидгена;_x000a_2026-04-28 11:53:19: Екатерина изменил(-а) название на 4.8. На основе понимания Программы Обучения_x000a_составить, согласовать и утвержден с ШП, продюсером и РГП Медиа-план Лидгена;_x000a_2026-04-28 11:53:23: Екатерина изменил(-а) название на 4.8. На основе понимания Программы Обучения_x000a_составить, согласовать и утвердить с ШП, продюсером и РГП Медиа-план Лидгена;_x000a_2026-04-28 18:28:48: Екатерина изменил(-а) название на 4.8. согласовать и утвердить с ШП, продюсером и РГП Медиа-план Лидгена;_x000a_2026-04-28 18:28:49: Екатерина изменил(-а) название на 4.8. Согласовать и утвердить с ШП, продюсером и РГП Медиа-план Лидгена;_x000a_2026-04-28 18:43:05: Екатерина переместил(-а) задачу в проекте ЛИЧНО сентябрь 24.09.2026 в колонку Дивизион Конференции / К работе;_x000a_2026-04-28 19:20:56: Екатерина изменил(-а) название на 4.08. Согласовать и утвердить с ШП, продюсером и РГП Медиа-план Лидгена;_x000a_2026-04-29 11:32:42: Екатерина изменил(-а) дату на 21.06.2026;_x000a_2026-04-29 11:32:44: Екатерина изменил(-а) дату на 21.06.2026 - 25.06.2026;_x000a_2026-04-29 11:32:46: Екатерина изменил(-а) дату на 22.06.2026 - 25.06.2026;_x000a_2026-04-29 13:25:15: Екатерина добавил(-а) тег PRE;_x000a_2026-04-29 13:25:16: Екатерина добавил(-а) тег Операционный директор;_x000a_2026-04-29 13:25:18: Екатерина добавил(-а) тег страт-п-с-26-09;_x000a_2026-04-29 13:25:24: Екатерина убрал(-а) тег Операционный директор;_x000a_2026-04-29 13:25:24: Екатерина добавил(-а) тег Лидген;_x000a_2026-04-30 14:42:07: Екатерина убрал(-а) тег страт-п-с-26-09;_x000a_2026-04-30 14:42:11: Екатерина добавил(-а) тег ШП;_x000a_2026-04-30 14:42:16: Екатерина убрал(-а) тег ШП;_x000a_2026-04-30 14:42:19: Екатерина добавил(-а) тег страт-п-с-26-09"/>
    <x v="0"/>
    <x v="1"/>
    <x v="1"/>
  </r>
  <r>
    <n v="203"/>
    <s v="ЛИЧНО сентябрь 24.09.2026"/>
    <s v="Дивизион Конференции"/>
    <s v="К работе"/>
    <m/>
    <m/>
    <s v="Екатерина"/>
    <s v="4.09. Сделать распределение задач Плана по неделям проекта"/>
    <s v="22.06.2026 03:00"/>
    <x v="15"/>
    <m/>
    <s v="Действие"/>
    <s v="Низкий"/>
    <s v="N"/>
    <m/>
    <s v="28.04.2026 11:45:29"/>
    <m/>
    <m/>
    <s v="Екатерина"/>
    <m/>
    <m/>
    <s v="N"/>
    <s v="N"/>
    <m/>
    <x v="1"/>
    <m/>
    <s v="2026-04-28 11:45:30: Екатерина создал(-а) задачу;_x000a_2026-04-28 11:53:30: Екатерина изменил(-а) название на 4.9. Сделать распределение задач Плана по неделям проекта;_x000a_2026-04-28 18:43:08: Екатерина переместил(-а) задачу в проекте ЛИЧНО сентябрь 24.09.2026 в колонку Дивизион Конференции / К работе;_x000a_2026-04-28 19:21:00: Екатерина изменил(-а) название на 4.09. Сделать распределение задач Плана по неделям проекта;_x000a_2026-04-29 11:32:56: Екатерина изменил(-а) дату на 23.06.2026;_x000a_2026-04-29 11:32:58: Екатерина изменил(-а) дату на 22.06.2026 - 23.06.2026;_x000a_2026-04-29 11:33:00: Екатерина изменил(-а) дату на 22.06.2026 - 25.06.2026;_x000a_2026-04-29 13:25:28: Екатерина добавил(-а) тег PRE;_x000a_2026-04-29 13:25:31: Екатерина добавил(-а) тег Лидген;_x000a_2026-04-29 13:25:32: Екатерина добавил(-а) тег страт-п-с-26-09"/>
    <x v="0"/>
    <x v="1"/>
    <x v="1"/>
  </r>
  <r>
    <n v="202"/>
    <s v="ЛИЧНО сентябрь 24.09.2026"/>
    <s v="Дивизион Конференции"/>
    <s v="К работе"/>
    <m/>
    <m/>
    <s v="Екатерина"/>
    <s v="4.10. Сдать отчет по Плану лидгена: KPI - 10% выполнения"/>
    <s v="27.07.2026 03:00"/>
    <x v="14"/>
    <m/>
    <s v="Действие"/>
    <s v="Низкий"/>
    <s v="N"/>
    <m/>
    <s v="28.04.2026 11:42:59"/>
    <m/>
    <m/>
    <s v="Екатерина"/>
    <m/>
    <m/>
    <s v="N"/>
    <s v="N"/>
    <m/>
    <x v="13"/>
    <m/>
    <s v="2026-04-28 11:43:00: Екатерина создал(-а) задачу;_x000a_2026-04-28 11:43:27: Екатерина изменил(-а) название на 4.10. Сдан еженедельный отчет по всем активностям лидгена - сверка с планом;_x000a_2026-04-28 11:53:44: Екатерина изменил(-а) название на 4.10. Сдать еженедельный отчет по всем активностям лидгена - сверка с планом;_x000a_2026-04-28 11:53:48: Екатерина изменил(-а) название на 4.10. Сдать еженедельный отчет по всем активностям лидгена - сверка с планом -;_x000a_2026-04-28 11:53:54: Екатерина изменил(-а) название на 4.10. Сдать еженедельный отчет по всем активностям лидгена - сверка с планом;_x000a_2026-04-28 11:53:55: Екатерина изменил(-а) название на 4.10. Сдать еженедельный отчет по всем активностям лидгена - сверка с планом по;_x000a_2026-04-28 11:53:57: Екатерина изменил(-а) название на 4.10. Сдать еженедельный отчет по всем активностям лидгена - сверка с планом по KPI;_x000a_2026-04-28 11:54:01: Екатерина изменил(-а) название на 4.10. Сдать еженедельный отчет по всем активностям лидгена - сверка с планом по KPI - 10;_x000a_2026-04-28 11:54:03: Екатерина изменил(-а) название на 4.10. Сдать еженедельный отчет по всем активностям лидгена - сверка с планом по KPI - 10%;_x000a_2026-04-28 11:54:07: Екатерина изменил(-а) название на 4.10. Сдать еженедельный отчет по всем активностям лидгена - сверка с планом по KPI - 10% d;_x000a_2026-04-28 11:54:12: Екатерина изменил(-а) название на 4.10. Сдать еженедельный отчет по всем активностям лидгена - сверка с планом по KPI - 10%;_x000a_2026-04-28 11:54:12: Екатерина изменил(-а) название на 4.10. Сдать еженедельный отчет по всем активностям лидгена - сверка с планом по KPI - 10% от;_x000a_2026-04-28 11:54:13: Екатерина изменил(-а) название на 4.10. Сдать еженедельный отчет по всем активностям лидгена - сверка с планом по KPI - 10% о;_x000a_2026-04-28 11:54:15: Екатерина изменил(-а) название на 4.10. Сдать еженедельный отчет по всем активностям лидгена - сверка с планом по KPI - 10%;_x000a_2026-04-28 11:54:20: Екатерина изменил(-а) название на 4.10. Сдать еженедельный отчет по всем активностям лидгена - сверка с планом по KPI - выполненно 10%;_x000a_2026-04-28 11:54:21: Екатерина изменил(-а) название на 4.10. Сдать еженедельный отчет по всем активностям лидгена - сверка с планом по KPI - выполненн10%;_x000a_2026-04-28 11:54:22: Екатерина изменил(-а) название на 4.10. Сдать еженедельный отчет по всем активностям лидгена - сверка с планом по KPI - выполнен10%;_x000a_2026-04-28 11:54:23: Екатерина изменил(-а) название на 4.10. Сдать еженедельный отчет по всем активностям лидгена - сверка с планом по KPI - выполнено10%;_x000a_2026-04-28 11:54:24: Екатерина изменил(-а) название на 4.10. Сдать еженедельный отчет по всем активностям лидгена - сверка с планом по KPI - выполнено 10%;_x000a_2026-04-28 11:54:28: Екатерина изменил(-а) название на 4.10. Сдать еженедельный отчет по всем активностям лидгена - сверка с планом по KPI - выполнено 10% з;_x000a_2026-04-28 11:54:33: Екатерина изменил(-а) название на 4.10. Сдать еженедельный отчет по всем активностям лидгена - сверка с планом по KPI - выполнено 10% от всех запланированных;_x000a_2026-04-28 11:54:36: Екатерина изменил(-а) название на 4.10. Сдать еженедельный отчет по всем активностям лидгена - сверка с планом по KPI - выполнено 10% от всех запланированных активностей;_x000a_2026-04-28 18:13:43: Екатерина изменил(-а) название на 4.10. Сдатьотчет по всем активностям лидгена - сверка с планом по KPI - выполнено 10% от всех запланированных активностей;_x000a_2026-04-28 18:13:45: Екатерина изменил(-а) название на 4.10. Сдать отчет по всем активностям лидгена - сверка с планом по KPI - выполнено 10% от всех запланированных активностей;_x000a_2026-04-28 18:13:54: Екатерина изменил(-а) название на 4.10. Сдать отчет по KPI - выполнено 10% от всех запланированных активностей;_x000a_2026-04-28 18:13:57: Екатерина изменил(-а) название на 4.10. Сдать отчет по План улидгена KPI - выполнено 10% от всех запланированных активностей;_x000a_2026-04-28 18:14:01: Екатерина изменил(-а) название на 4.10. Сдать отчет по Планулидгена KPI - выполнено 10% от всех запланированных активностей;_x000a_2026-04-28 18:14:02: Екатерина изменил(-а) название на 4.10. Сдать отчет по Плану лидгена KPI - выполнено 10% от всех запланированных активностей;_x000a_2026-04-28 18:14:13: Екатерина изменил(-а) название на 4.10. Сдать отчет по Плану лидгена: KPI - выполнено 10% от всех запланированных активностей;_x000a_2026-04-28 18:14:19: Екатерина изменил(-а) название на 4.10. Сдать отчет по Плану лидгена: KPI - 10% от всех запланированных активностей;_x000a_2026-04-28 18:14:22: Екатерина изменил(-а) название на 4.10. Сдать отчет по Плану лидгена: KPI - 10% выполнения;_x000a_2026-04-28 18:35:25: Екатерина добавил(-а) тег PRO;_x000a_2026-04-28 18:35:34: Екатерина добавил(-а) тег страт-п-с-26-09;_x000a_2026-04-28 18:37:26: Екатерина добавил(-а) тег Лидген;_x000a_2026-04-28 18:43:11: Екатерина переместил(-а) задачу в проекте ЛИЧНО сентябрь 24.09.2026 в колонку Дивизион Конференции / К работе;_x000a_2026-04-29 11:13:39: Екатерина изменил(-а) дату на 27.07.2026;_x000a_2026-04-29 11:13:39: Екатерина изменил(-а) дату на 27.07.2026 - 30.07.2026;_x000a_2026-04-30 14:41:29: Екатерина убрал(-а) тег страт-п-с-26-09;_x000a_2026-04-30 14:41:33: Екатерина добавил(-а) тег страт-п-с-26-09"/>
    <x v="0"/>
    <x v="1"/>
    <x v="1"/>
  </r>
  <r>
    <n v="201"/>
    <s v="ЛИЧНО сентябрь 24.09.2026"/>
    <s v="Дивизион Конференции"/>
    <s v="К работе"/>
    <m/>
    <m/>
    <s v="Екатерина"/>
    <s v="4.11. Сдать отчет по Плану лидгена: KPI - 20% выполнения"/>
    <s v="03.08.2026 03:00"/>
    <x v="13"/>
    <m/>
    <s v="Действие"/>
    <s v="Низкий"/>
    <s v="N"/>
    <m/>
    <s v="28.04.2026 11:42:58"/>
    <m/>
    <m/>
    <s v="Екатерина"/>
    <m/>
    <m/>
    <s v="N"/>
    <s v="N"/>
    <m/>
    <x v="13"/>
    <m/>
    <s v="2026-04-28 11:42:58: Екатерина создал(-а) задачу;_x000a_2026-04-28 11:43:32: Екатерина изменил(-а) название на 4.11. Сдан еженедельный отчет по всем активностям лидгена - сверка с планом;_x000a_2026-04-28 11:54:47: Екатерина изменил(-а) название на 4.11. 4.10. Сдать еженедельный отчет по всем активностям лидгена - сверка с планом по KPI - выполнено 10% от всех запланированных активностей;_x000a_2026-04-28 11:54:52: Екатерина изменил(-а) название на 4.11. Сдать еженедельный отчет по всем активностям лидгена - сверка с планом по KPI - выполнено 10% от всех запланированных активностей;_x000a_2026-04-28 11:54:55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_x000a_2026-04-28 18:14:32: Екатерина изменил(-а) название на 4.11. Сдать отчет по Плану лидгена: KPI - 10% выполнения;_x000a_2026-04-28 18:14:38: Екатерина изменил(-а) название на 4.11. Сдать отчет по Плану лидгена: KPI - 20% выполнения;_x000a_2026-04-28 18:43:14: Екатерина переместил(-а) задачу в проекте ЛИЧНО сентябрь 24.09.2026 в колонку Дивизион Конференции / К работе;_x000a_2026-04-29 11:13:50: Екатерина изменил(-а) дату на 03.08.2026;_x000a_2026-04-29 11:13:51: Екатерина изменил(-а) дату на 07.08.2026;_x000a_2026-04-29 11:13:54: Екатерина изменил(-а) дату на 03.08.2026 - 07.08.2026;_x000a_2026-04-29 11:13:56: Екатерина изменил(-а) дату на 03.08.2026 - 06.08.2026;_x000a_2026-04-29 13:25:37: Екатерина добавил(-а) тег PRO;_x000a_2026-04-29 13:25:41: Екатерина добавил(-а) тег страт-п-с-26-09;_x000a_2026-04-29 13:25:48: Екатерина добавил(-а) тег Лидген;_x000a_2026-04-30 14:41:40: Екатерина убрал(-а) тег страт-п-с-26-09;_x000a_2026-04-30 14:41:43: Екатерина добавил(-а) тег страт-п-с-26-09"/>
    <x v="0"/>
    <x v="1"/>
    <x v="1"/>
  </r>
  <r>
    <n v="200"/>
    <s v="ЛИЧНО сентябрь 24.09.2026"/>
    <s v="Дивизион Конференции"/>
    <s v="К работе"/>
    <m/>
    <m/>
    <s v="Екатерина"/>
    <s v="4.11. Сдать отчет по Плану лидгена: KPI - 30% выполнения"/>
    <s v="10.08.2026 03:00"/>
    <x v="12"/>
    <m/>
    <s v="Действие"/>
    <s v="Низкий"/>
    <s v="N"/>
    <m/>
    <s v="28.04.2026 11:42:57"/>
    <m/>
    <m/>
    <s v="Екатерина"/>
    <m/>
    <m/>
    <s v="N"/>
    <s v="N"/>
    <m/>
    <x v="13"/>
    <m/>
    <s v="2026-04-28 11:42:58: Екатерина создал(-а) задачу;_x000a_2026-04-28 11:43:37: Екатерина изменил(-а) название на 4.12. Сдан еженедельный отчет по всем активностям лидгена - сверка с планом;_x000a_2026-04-28 11:55:14: Екатерина изменил(-а) название на 4.11. Сдать еженедельный отчет по всем активностям лидгена - сверка с планом по KPI - выполнено 20% от всех запланированных активностей;_x000a_2026-04-28 11:55:17: Екатерина изменил(-а) название на 4.11. Сдать еженедельный отчет по всем активностям лидгена - сверка с планом по KPI - выполнено 30% от всех запланированных активностей;_x000a_2026-04-28 18:11:18: Екатерина изменил(-а) дату на 28.04.2026;_x000a_2026-04-28 18:11:29: Екатерина изменил(-а) дату на 06.05.2026 - 13.05.2026;_x000a_2026-04-28 18:14:44: Екатерина изменил(-а) название на 4.11. Сдать отчет по Плану лидгена: KPI - 10% выполнения;_x000a_2026-04-28 18:14:48: Екатерина изменил(-а) название на 4.11. Сдать отчет по Плану лидгена: KPI - 30% выполнения;_x000a_2026-04-28 18:43:19: Екатерина переместил(-а) задачу в проекте ЛИЧНО сентябрь 24.09.2026 в колонку Дивизион Конференции / К работе;_x000a_2026-04-29 11:14:21: Екатерина изменил(-а) дату на 13.05.2026 - 10.08.2026;_x000a_2026-04-29 11:14:21: Екатерина изменил(-а) дату на 13.05.2026 - 13.08.2026;_x000a_2026-04-29 11:14:24: Екатерина изменил(-а) дату на 10.08.2026 - 13.08.2026;_x000a_2026-04-29 13:25:51: Екатерина добавил(-а) тег PRO;_x000a_2026-04-29 13:25:55: Екатерина добавил(-а) тег Лидген;_x000a_2026-04-29 13:25:55: Екатерина добавил(-а) тег страт-п-с-26-09"/>
    <x v="0"/>
    <x v="1"/>
    <x v="1"/>
  </r>
  <r>
    <n v="199"/>
    <s v="ЛИЧНО сентябрь 24.09.2026"/>
    <s v="Дивизион Конференции"/>
    <s v="К работе"/>
    <m/>
    <m/>
    <s v="Екатерина"/>
    <s v="4.13. Сдать отчет по Плану лидгена: KPI - 40% выполнения"/>
    <s v="17.08.2026 03:00"/>
    <x v="11"/>
    <m/>
    <s v="Действие"/>
    <s v="Низкий"/>
    <s v="N"/>
    <m/>
    <s v="28.04.2026 11:42:56"/>
    <m/>
    <m/>
    <s v="Екатерина"/>
    <m/>
    <m/>
    <s v="N"/>
    <s v="N"/>
    <m/>
    <x v="13"/>
    <m/>
    <s v="2026-04-28 11:42:56: Екатерина создал(-а) задачу;_x000a_2026-04-28 11:43:41: Екатерина изменил(-а) название на 4.13. Сдан еженедельный отчет по всем активностям лидгена - сверка с планом;_x000a_2026-04-28 11:56:40: Екатерина изменил(-а) название на 4.13. Сдать еженедельный отчет по всем активностям лидгена - сверка с планом по KPI - выполнено 30% от всех запланированных активностей;_x000a_2026-04-28 18:14:55: Екатерина изменил(-а) название на 4.13. Сдать отчет по Плану лидгена: KPI - 10% выполнения;_x000a_2026-04-28 18:14:58: Екатерина изменил(-а) название на 4.13. Сдать отчет по Плану лидгена: KPI - 40% выполнения;_x000a_2026-04-28 18:43:20: Екатерина переместил(-а) задачу в проекте ЛИЧНО сентябрь 24.09.2026 в колонку Дивизион Конференции / К работе;_x000a_2026-04-29 11:14:39: Екатерина изменил(-а) дату на 17.08.2026 - 17.08.2026;_x000a_2026-04-29 11:14:40: Екатерина изменил(-а) дату на 17.08.2026 - 20.08.2026;_x000a_2026-04-29 13:25:58: Екатерина добавил(-а) тег PRO;_x000a_2026-04-29 13:26:01: Екатерина добавил(-а) тег Лидген;_x000a_2026-04-29 13:26:01: Екатерина добавил(-а) тег страт-п-с-26-09"/>
    <x v="0"/>
    <x v="1"/>
    <x v="1"/>
  </r>
  <r>
    <n v="198"/>
    <s v="ЛИЧНО сентябрь 24.09.2026"/>
    <s v="Дивизион Конференции"/>
    <s v="К работе"/>
    <m/>
    <m/>
    <s v="Екатерина"/>
    <s v="4.14. Сдать отчет по Плану лидгена: KPI - 50% выполнения"/>
    <s v="24.08.2026 03:00"/>
    <x v="10"/>
    <m/>
    <s v="Действие"/>
    <s v="Низкий"/>
    <s v="N"/>
    <m/>
    <s v="28.04.2026 11:42:55"/>
    <n v="1"/>
    <m/>
    <s v="Екатерина"/>
    <m/>
    <m/>
    <s v="N"/>
    <s v="N"/>
    <m/>
    <x v="13"/>
    <m/>
    <s v="2026-04-28 11:42:55: Екатерина создал(-а) задачу;_x000a_2026-04-28 11:43:53: Екатерина изменил(-а) название на 4.14. Сдан еженедельный отчет по всем активностям лидгена - сверка с планом;_x000a_2026-04-28 18:15:05: Екатерина изменил(-а) название на 4.14. Сдать отчет по Плану лидгена: KPI - 10% выполнения;_x000a_2026-04-28 18:15:08: Екатерина изменил(-а) название на 4.14. Сдать отчет по Плану лидгена: KPI - 50% выполнения;_x000a_2026-04-28 18:20:19: Екатерина изменил(-а) дату на 28.04.2026;_x000a_2026-04-28 18:43:25: Екатерина переместил(-а) задачу в проекте ЛИЧНО сентябрь 24.09.2026 в колонку Дивизион Конференции / К работе;_x000a_2026-04-29 11:14:57: Екатерина изменил(-а) дату на 29.04.2026 - 24.08.2026;_x000a_2026-04-29 11:14:59: Екатерина изменил(-а) дату на 29.04.2026 - 27.08.2026;_x000a_2026-04-29 11:15:14: Екатерина изменил(-а) дату на 24.08.2026 - 27.08.2026;_x000a_2026-04-29 13:26:03: Екатерина добавил(-а) тег PRO;_x000a_2026-04-29 13:26:07: Екатерина добавил(-а) тег Лидген;_x000a_2026-04-29 13:26:07: Екатерина добавил(-а) тег страт-п-с-26-09"/>
    <x v="0"/>
    <x v="1"/>
    <x v="1"/>
  </r>
  <r>
    <n v="197"/>
    <s v="ЛИЧНО сентябрь 24.09.2026"/>
    <s v="Дивизион Конференции"/>
    <s v="К работе"/>
    <m/>
    <m/>
    <s v="Екатерина"/>
    <s v="4.15. Сдать отчет по Плану лидгена: KPI - 60% выполнения"/>
    <s v="31.08.2026 03:00"/>
    <x v="19"/>
    <m/>
    <s v="Действие"/>
    <s v="Низкий"/>
    <s v="N"/>
    <m/>
    <s v="28.04.2026 11:42:52"/>
    <m/>
    <m/>
    <s v="Екатерина"/>
    <m/>
    <m/>
    <s v="N"/>
    <s v="N"/>
    <m/>
    <x v="13"/>
    <m/>
    <s v="2026-04-28 11:42:52: Екатерина создал(-а) задачу;_x000a_2026-04-28 11:44:08: Екатерина изменил(-а) название на 4.15. Сдан еженедельный отчет по всем активностям лидгена - сверка с планом;_x000a_2026-04-28 18:15:14: Екатерина изменил(-а) название на 4.15. Сдать отчет по Плану лидгена: KPI - 10% выполнения;_x000a_2026-04-28 18:15:17: Екатерина изменил(-а) название на 4.15. Сдать отчет по Плану лидгена: KPI - 60% выполнения;_x000a_2026-04-28 18:43:26: Екатерина переместил(-а) задачу в проекте ЛИЧНО сентябрь 24.09.2026 в колонку Дивизион Конференции / К работе;_x000a_2026-04-29 11:17:01: Екатерина изменил(-а) дату на 31.08.2026;_x000a_2026-04-29 11:17:03: Екатерина изменил(-а) дату на 03.09.2026;_x000a_2026-04-29 11:17:13: Екатерина изменил(-а) дату на 31.08.2026 - 03.09.2026;_x000a_2026-04-29 13:26:10: Екатерина добавил(-а) тег PRO;_x000a_2026-04-29 13:26:11: Екатерина добавил(-а) тег Лидген;_x000a_2026-04-29 13:26:13: Екатерина добавил(-а) тег страт-п-с-26-09"/>
    <x v="0"/>
    <x v="1"/>
    <x v="1"/>
  </r>
  <r>
    <n v="196"/>
    <s v="ЛИЧНО сентябрь 24.09.2026"/>
    <s v="Дивизион Конференции"/>
    <s v="К работе"/>
    <m/>
    <m/>
    <s v="Екатерина"/>
    <s v="4.16. Сдать отчет по Плану лидгена: KPI - 70% выполнения"/>
    <s v="07.09.2026 03:00"/>
    <x v="7"/>
    <m/>
    <s v="Действие"/>
    <s v="Низкий"/>
    <s v="N"/>
    <m/>
    <s v="28.04.2026 11:42:50"/>
    <m/>
    <m/>
    <s v="Екатерина"/>
    <m/>
    <m/>
    <s v="N"/>
    <s v="N"/>
    <m/>
    <x v="13"/>
    <m/>
    <s v="2026-04-28 11:42:51: Екатерина создал(-а) задачу;_x000a_2026-04-28 11:44:17: Екатерина изменил(-а) название на 4.16. Сдан еженедельный отчет по всем активностям лидгена - сверка с планом;_x000a_2026-04-28 18:15:25: Екатерина изменил(-а) название на 4.16. Сдать отчет по Плану лидгена: KPI - 10% выполнения;_x000a_2026-04-28 18:15:27: Екатерина изменил(-а) название на 4.16. Сдать отчет по Плану лидгена: KPI - 80% выполнения;_x000a_2026-04-28 18:15:29: Екатерина изменил(-а) название на 4.16. Сдать отчет по Плану лидгена: KPI - 70% выполнения;_x000a_2026-04-28 18:43:29: Екатерина переместил(-а) задачу в проекте ЛИЧНО сентябрь 24.09.2026 в колонку Дивизион Конференции / К работе;_x000a_2026-04-29 11:17:25: Екатерина изменил(-а) дату на 07.09.2026 - 07.09.2026;_x000a_2026-04-29 11:17:27: Екатерина изменил(-а) дату на 07.09.2026 - 10.09.2026;_x000a_2026-04-29 13:26:17: Екатерина добавил(-а) тег PRO;_x000a_2026-04-29 13:26:22: Екатерина добавил(-а) тег Лидген;_x000a_2026-04-29 13:26:22: Екатерина добавил(-а) тег страт-п-с-26-09"/>
    <x v="0"/>
    <x v="1"/>
    <x v="1"/>
  </r>
  <r>
    <n v="195"/>
    <s v="ЛИЧНО сентябрь 24.09.2026"/>
    <s v="Дивизион Конференции"/>
    <s v="К работе"/>
    <m/>
    <m/>
    <s v="Екатерина"/>
    <s v="4.17. Сдать отчет по Плану лидгена: KPI - 80-100% выполнения"/>
    <s v="14.09.2026 03:00"/>
    <x v="6"/>
    <m/>
    <s v="Действие"/>
    <s v="Низкий"/>
    <s v="N"/>
    <m/>
    <s v="28.04.2026 11:42:48"/>
    <m/>
    <m/>
    <s v="Екатерина"/>
    <m/>
    <m/>
    <s v="N"/>
    <s v="N"/>
    <m/>
    <x v="13"/>
    <m/>
    <s v="2026-04-28 11:42:48: Екатерина создал(-а) задачу;_x000a_2026-04-28 11:44:23: Екатерина изменил(-а) название на 4.17. Сдан еженедельный отчет по всем активностям лидгена - сверка с планом;_x000a_2026-04-28 18:15:35: Екатерина изменил(-а) название на 4.17. Сдать отчет по Плану лидгена: KPI - 10% выполнения;_x000a_2026-04-28 18:15:39: Екатерина изменил(-а) название на 4.17. Сдать отчет по Плану лидгена: KPI - 70% выполнения;_x000a_2026-04-28 18:16:11: Екатерина изменил(-а) название на 4.17. Сдать отчет по Плану лидгена: KPI - 80% выполнения;_x000a_2026-04-28 18:43:40: Екатерина переместил(-а) задачу в проекте ЛИЧНО сентябрь 24.09.2026 в колонку Дивизион Конференции / К работе;_x000a_2026-04-29 11:17:37: Екатерина изменил(-а) дату на 14.09.2026 - 14.09.2026;_x000a_2026-04-29 11:17:40: Екатерина изменил(-а) дату на 14.09.2026 - 17.09.2026;_x000a_2026-04-29 11:43:27: Екатерина изменил(-а) название на 4.17. Сдать отчет по Плану лидгена: KPI - 80-100% выполнения;_x000a_2026-04-29 13:26:25: Екатерина добавил(-а) тег PRO;_x000a_2026-04-29 13:26:28: Екатерина добавил(-а) тег Лидген;_x000a_2026-04-29 13:26:28: Екатерина добавил(-а) тег страт-п-с-26-09"/>
    <x v="0"/>
    <x v="1"/>
    <x v="1"/>
  </r>
  <r>
    <n v="194"/>
    <s v="ЛИЧНО сентябрь 24.09.2026"/>
    <s v="Дивизион Конференции"/>
    <s v="К работе"/>
    <m/>
    <m/>
    <s v="Екатерина"/>
    <s v="4.18. Сдать отчет по Плану лидгена: KPI - 90-100% выполнения"/>
    <s v="21.09.2026 03:00"/>
    <x v="4"/>
    <m/>
    <s v="Действие"/>
    <s v="Низкий"/>
    <s v="N"/>
    <m/>
    <s v="28.04.2026 11:42:44"/>
    <m/>
    <m/>
    <s v="Екатерина"/>
    <m/>
    <m/>
    <s v="N"/>
    <s v="N"/>
    <m/>
    <x v="14"/>
    <m/>
    <s v="2026-04-28 11:42:45: Екатерина создал(-а) задачу;_x000a_2026-04-28 11:44:36: Екатерина изменил(-а) название на 4.18. Сдан еженедельный отчет по всем активностям лидгена - сверка с планом;_x000a_2026-04-28 18:16:16: Екатерина изменил(-а) название на 4.18. Сдать отчет по Плану лидгена: KPI - 10% выполнения;_x000a_2026-04-28 18:16:18: Екатерина изменил(-а) название на 4.18. Сдать отчет по Плану лидгена: KPI - 90% выполнения;_x000a_2026-04-28 18:16:21: Екатерина изменил(-а) название на 4.18. Сдать отчет по Плану лидгена: KPI - 90-100% выполнения;_x000a_2026-04-28 18:43:43: Екатерина переместил(-а) задачу в проекте ЛИЧНО сентябрь 24.09.2026 в колонку Дивизион Конференции / К работе;_x000a_2026-04-29 11:16:20: Екатерина изменил(-а) дату на 24.09.2026;_x000a_2026-04-29 11:16:23: Екатерина изменил(-а) дату на 21.09.2026 - 24.09.2026;_x000a_2026-04-29 11:16:41: Екатерина добавил(-а) тег D;_x000a_2026-04-29 13:26:36: Екатерина добавил(-а) тег Лидген;_x000a_2026-04-29 13:26:36: Екатерина добавил(-а) тег страт-п-с-26-09"/>
    <x v="0"/>
    <x v="1"/>
    <x v="1"/>
  </r>
  <r>
    <n v="193"/>
    <s v="ЛИЧНО сентябрь 24.09.2026"/>
    <s v="Дивизион Конференции"/>
    <s v="К работе"/>
    <m/>
    <m/>
    <s v="Екатерина"/>
    <s v="4.19. Подготовлен Маркетинговый пост-отчет"/>
    <s v="28.09.2026 03:00"/>
    <x v="0"/>
    <m/>
    <s v="Действие"/>
    <s v="Низкий"/>
    <s v="N"/>
    <m/>
    <s v="28.04.2026 11:41:52"/>
    <m/>
    <m/>
    <s v="Екатерина"/>
    <m/>
    <m/>
    <s v="N"/>
    <s v="N"/>
    <m/>
    <x v="15"/>
    <m/>
    <s v="2026-04-28 11:41:53: Екатерина создал(-а) задачу;_x000a_2026-04-28 11:44:47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_x000a_2026-04-28 18:16:32: Екатерина изменил(-а) название на 4.19. Подготовить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_x000a_2026-04-28 18:16:44: Екатерина изменил(-а) название на 4.19. Подготовлен Маркетинговый пост-отчет, включая детализацию согласно структуре Медиа-план Лидгена, где каждый канал-источник - детализирован: по нему собран результат в количестве лидов и в сумме руб, которую принес каждый канал;_x000a_2026-04-28 18:17:03: Екатерина изменил(-а) название на 4.19. Подготовлен Маркетинговый пост-отчет,;_x000a_2026-04-28 18:17:04: Екатерина изменил(-а) название на 4.19. Подготовлен Маркетинговый пост-отчет;_x000a_2026-04-28 18:43:45: Екатерина переместил(-а) задачу в проекте ЛИЧНО сентябрь 24.09.2026 в колонку Дивизион Конференции / К работе;_x000a_2026-04-29 11:16:43: Екатерина добавил(-а) тег POST;_x000a_2026-04-29 11:17:57: Екатерина изменил(-а) дату на 28.09.2026 - 28.09.2026;_x000a_2026-04-29 11:17:58: Екатерина изменил(-а) дату на 28.09.2026 - 01.10.2026;_x000a_2026-04-29 13:26:53: Екатерина добавил(-а) тег Лидген;_x000a_2026-04-29 13:26:54: Екатерина добавил(-а) тег Продюсер;_x000a_2026-04-29 13:26:56: Екатерина убрал(-а) тег Продюсер;_x000a_2026-04-29 13:26:58: Екатерина добавил(-а) тег страт-п-с-26-09"/>
    <x v="0"/>
    <x v="1"/>
    <x v="1"/>
  </r>
  <r>
    <n v="192"/>
    <s v="ЛИЧНО сентябрь 24.09.2026"/>
    <s v="Дивизион Конференции"/>
    <s v="К работе"/>
    <m/>
    <m/>
    <s v="Екатерина"/>
    <s v="4.20. Подготовить отчет по косякам"/>
    <s v="28.09.2026 03:00"/>
    <x v="0"/>
    <m/>
    <s v="Действие"/>
    <s v="Низкий"/>
    <s v="N"/>
    <m/>
    <s v="28.04.2026 11:41:33"/>
    <m/>
    <m/>
    <s v="Екатерина"/>
    <m/>
    <m/>
    <s v="N"/>
    <s v="N"/>
    <m/>
    <x v="15"/>
    <m/>
    <s v="2026-04-28 11:41:33: Екатерина создал(-а) задачу;_x000a_2026-04-28 11:44:54: Екатерина изменил(-а) название на 4.20. Подготовлен отчет по косякам;_x000a_2026-04-28 18:18:03: Екатерина изменил(-а) название на 4.20. Подготовить отчет по косякам;_x000a_2026-04-28 18:43:48: Екатерина переместил(-а) задачу в проекте ЛИЧНО сентябрь 24.09.2026 в колонку Дивизион Конференции / К работе;_x000a_2026-04-29 11:16:47: Екатерина добавил(-а) тег POST;_x000a_2026-04-29 11:33:27: Екатерина изменил(-а) дату на 29.09.2026;_x000a_2026-04-29 11:33:32: Екатерина изменил(-а) дату на 27.09.2026 - 29.09.2026;_x000a_2026-04-29 11:33:36: Екатерина изменил(-а) дату на 27.09.2026 - 02.10.2026;_x000a_2026-04-29 11:33:39: Екатерина изменил(-а) дату на 28.09.2026 - 02.10.2026;_x000a_2026-04-29 11:33:39: Екатерина изменил(-а) дату на 28.09.2026 - 01.10.2026;_x000a_2026-04-29 13:27:03: Екатерина добавил(-а) тег Лидген;_x000a_2026-04-29 13:27:04: Екатерина добавил(-а) тег страт-п-с-26-09"/>
    <x v="0"/>
    <x v="1"/>
    <x v="1"/>
  </r>
  <r>
    <n v="191"/>
    <s v="ЛИЧНО сентябрь 24.09.2026"/>
    <s v="Дивизион Конференции"/>
    <s v="К работе"/>
    <m/>
    <m/>
    <s v="Екатерина"/>
    <s v="4.21. Опубликовать пост-релиз в блог, скрыта программа и добавлен анонс на следующее мероприятие"/>
    <s v="28.09.2026 03:00"/>
    <x v="0"/>
    <m/>
    <s v="Действие"/>
    <s v="Низкий"/>
    <s v="N"/>
    <m/>
    <s v="28.04.2026 11:41:22"/>
    <m/>
    <m/>
    <s v="Екатерина"/>
    <m/>
    <m/>
    <s v="N"/>
    <s v="N"/>
    <m/>
    <x v="15"/>
    <m/>
    <s v="2026-04-28 11:41:23: Екатерина создал(-а) задачу;_x000a_2026-04-28 11:44:58: Екатерина изменил(-а) название на 4.21. Опубликован пост-релиз в блог, скрыта программа и добавлен анонс на следующее мероприятие;_x000a_2026-04-28 18:18:08: Екатерина изменил(-а) название на 4.21. Опубликовать пост-релиз в блог, скрыта программа и добавлен анонс на следующее мероприятие;_x000a_2026-04-28 18:43:51: Екатерина переместил(-а) задачу в проекте ЛИЧНО сентябрь 24.09.2026 в колонку Дивизион Конференции / К работе;_x000a_2026-04-29 11:16:51: Екатерина добавил(-а) тег POST;_x000a_2026-04-29 11:33:41: Екатерина изменил(-а) дату на 29.09.2026;_x000a_2026-04-29 11:33:43: Екатерина изменил(-а) дату на 29.09.2026 - 01.10.2026;_x000a_2026-04-29 11:33:44: Екатерина изменил(-а) дату на 28.09.2026 - 01.10.2026;_x000a_2026-04-29 13:27:09: Екатерина добавил(-а) тег Лидген;_x000a_2026-04-29 13:27:10: Екатерина добавил(-а) тег страт-п-с-26-09"/>
    <x v="0"/>
    <x v="1"/>
    <x v="1"/>
  </r>
  <r>
    <n v="190"/>
    <s v="ЛИЧНО сентябрь 24.09.2026"/>
    <s v="Дивизион Конференции"/>
    <s v="К работе"/>
    <m/>
    <m/>
    <s v="Екатерина"/>
    <s v="5.01. Получить вводные на Первичном совещании"/>
    <s v="18.05.2026 03:00"/>
    <x v="3"/>
    <m/>
    <s v="Действие"/>
    <s v="Низкий"/>
    <s v="N"/>
    <m/>
    <s v="28.04.2026 11:22:35"/>
    <n v="20"/>
    <s v="Нелли"/>
    <s v="Екатерина, Нелли"/>
    <m/>
    <m/>
    <s v="N"/>
    <s v="N"/>
    <m/>
    <x v="16"/>
    <m/>
    <s v="2026-04-28 11:22:36: Екатерина создал(-а) задачу;_x000a_2026-04-28 11:25:54: Екатерина добавил(-а) тег PRE;_x000a_2026-04-28 12:31:14: Екатерина изменил(-а) дату на 01.04.2026;_x000a_2026-04-28 12:31:16: Екатерина изменил(-а) дату на 05.04.2026;_x000a_2026-04-28 12:31:19: Екатерина изменил(-а) дату на 05.04.2026 - 09.04.2026;_x000a_2026-04-28 12:31:37: Екатерина назначил(-а) Нелли исполнителем;_x000a_2026-04-28 18:43:55: Екатерина переместил(-а) задачу в проекте ЛИЧНО сентябрь 24.09.2026 в колонку Дивизион Конференции / К работе;_x000a_2026-04-28 18:44:00: Екатерина изменил(-а) название на 5.01. Получить вводные на Первичном совещании;_x000a_2026-04-29 10:01:05: Екатерина добавил(-а) тег РГП;_x000a_2026-04-29 10:01:19: Екатерина добавил(-а) тег страт-п-с-26-09;_x000a_2026-04-29 11:34:37: Екатерина изменил(-а) дату на 28.04.2026 - 29.04.2026;_x000a_2026-04-29 11:34:37: Екатерина изменил(-а) дату на 28.04.2026 - 03.05.2026;_x000a_2026-04-29 11:34:42: Екатерина изменил(-а) дату на 02.05.2026 - 03.05.2026;_x000a_2026-04-29 11:34:43: Екатерина изменил(-а) дату на 02.05.2026 - 07.05.2026;_x000a_2026-04-29 11:34:46: Екатерина изменил(-а) дату на 07.05.2026;_x000a_2026-04-29 11:34:48: Екатерина изменил(-а) дату на 07.05.2026 - 11.05.2026;_x000a_2026-04-29 11:34:52: Екатерина изменил(-а) дату на 10.05.2026 - 11.05.2026;_x000a_2026-04-29 11:34:55: Екатерина изменил(-а) дату на 10.05.2026 - 18.05.2026;_x000a_2026-04-29 11:34:58: Екатерина изменил(-а) дату на 18.05.2026;_x000a_2026-04-29 11:34:59: Екатерина изменил(-а) дату на 18.05.2026 - 19.05.2026"/>
    <x v="0"/>
    <x v="7"/>
    <x v="5"/>
  </r>
  <r>
    <n v="189"/>
    <s v="ЛИЧНО сентябрь 24.09.2026"/>
    <s v="Дивизион Конференции"/>
    <s v="К работе"/>
    <m/>
    <m/>
    <s v="Екатерина"/>
    <s v="5.02. Утвердить Пакеты и график повышения цен"/>
    <s v="25.05.2026 03:00"/>
    <x v="18"/>
    <m/>
    <s v="Действие"/>
    <s v="Низкий"/>
    <s v="N"/>
    <m/>
    <s v="28.04.2026 11:22:22"/>
    <m/>
    <s v="Нелли"/>
    <s v="Екатерина, Нелли"/>
    <m/>
    <m/>
    <s v="N"/>
    <s v="N"/>
    <m/>
    <x v="16"/>
    <m/>
    <s v="2026-04-28 11:22:22: Екатерина создал(-а) задачу;_x000a_2026-04-28 11:26:43: Екатерина добавил(-а) тег PRE;_x000a_2026-04-28 18:44:05: Екатерина изменил(-а) название на 5.02. Утвердить Пакеты и график повышения цен;_x000a_2026-04-28 18:44:19: Екатерина переместил(-а) задачу в проекте ЛИЧНО сентябрь 24.09.2026 в колонку Дивизион Конференции / К работе;_x000a_2026-04-29 11:34:10: Екатерина изменил(-а) дату на 28.04.2026;_x000a_2026-04-29 11:34:10: Екатерина изменил(-а) дату на 28.04.2026;_x000a_2026-04-29 11:34:15: Екатерина изменил(-а) дату на 28.04.2026 - 01.05.2026;_x000a_2026-04-29 11:35:12: Екатерина изменил(-а) дату на 28.04.2026 - 27.05.2026;_x000a_2026-04-29 11:35:17: Екатерина изменил(-а) дату на 25.05.2026 - 27.05.2026;_x000a_2026-04-29 11:35:20: Екатерина изменил(-а) дату на 25.05.2026 - 28.05.2026;_x000a_2026-04-29 13:27:18: Екатерина добавил(-а) тег РГП;_x000a_2026-04-29 13:27:18: Екатерина добавил(-а) тег Продюсер;_x000a_2026-04-29 13:27:21: Екатерина убрал(-а) тег Продюсер;_x000a_2026-04-29 13:27:21: Екатерина добавил(-а) тег страт-п-с-26-09;_x000a_2026-04-30 10:33:48: Екатерина назначил(-а) Нелли исполнителем"/>
    <x v="0"/>
    <x v="7"/>
    <x v="5"/>
  </r>
  <r>
    <n v="188"/>
    <s v="ЛИЧНО сентябрь 24.09.2026"/>
    <s v="Дивизион Конференции"/>
    <s v="К работе"/>
    <m/>
    <m/>
    <s v="Екатерина"/>
    <s v="5.03. Декомпозировать планы и занести в реестр"/>
    <s v="25.05.2026 03:00"/>
    <x v="18"/>
    <m/>
    <s v="Действие"/>
    <s v="Низкий"/>
    <s v="N"/>
    <m/>
    <s v="28.04.2026 11:21:55"/>
    <m/>
    <s v="Нелли"/>
    <s v="Екатерина, Нелли"/>
    <m/>
    <m/>
    <s v="N"/>
    <s v="N"/>
    <m/>
    <x v="16"/>
    <m/>
    <s v="2026-04-28 11:21:55: Екатерина создал(-а) задачу;_x000a_2026-04-28 11:26:48: Екатерина добавил(-а) тег PRE;_x000a_2026-04-28 18:44:09: Екатерина изменил(-а) название на 53. Декомпозировать планы и занести в реестр;_x000a_2026-04-28 18:44:12: Екатерина изменил(-а) название на 5.03. Декомпозировать планы и занести в реестр;_x000a_2026-04-28 18:44:21: Екатерина переместил(-а) задачу в проекте ЛИЧНО сентябрь 24.09.2026 в колонку Дивизион Конференции / К работе;_x000a_2026-04-29 11:35:25: Екатерина изменил(-а) дату на 26.05.2026;_x000a_2026-04-29 11:35:28: Екатерина изменил(-а) дату на 25.05.2026 - 26.05.2026;_x000a_2026-04-29 11:35:29: Екатерина изменил(-а) дату на 25.05.2026 - 28.05.2026;_x000a_2026-04-29 13:28:15: Екатерина добавил(-а) тег РГП;_x000a_2026-04-29 13:28:17: Екатерина добавил(-а) тег страт-п-с-26-09;_x000a_2026-04-30 10:33:54: Екатерина назначил(-а) Нелли исполнителем"/>
    <x v="0"/>
    <x v="7"/>
    <x v="5"/>
  </r>
  <r>
    <n v="187"/>
    <s v="ЛИЧНО сентябрь 24.09.2026"/>
    <s v="Дивизион Конференции"/>
    <s v="К работе"/>
    <m/>
    <m/>
    <s v="Екатерина"/>
    <s v="5.04. Утвердить Мотивацию  и занесети в документы"/>
    <s v="01.06.2026 03:00"/>
    <x v="1"/>
    <m/>
    <s v="Действие"/>
    <s v="Низкий"/>
    <s v="N"/>
    <m/>
    <s v="28.04.2026 11:21:41"/>
    <m/>
    <s v="Нелли"/>
    <s v="Екатерина, Нелли"/>
    <m/>
    <m/>
    <s v="N"/>
    <s v="N"/>
    <m/>
    <x v="16"/>
    <m/>
    <s v="2026-04-28 11:21:41: Екатерина создал(-а) задачу;_x000a_2026-04-28 11:26:53: Екатерина добавил(-а) тег PRE;_x000a_2026-04-28 17:35:58: Екатерина изменил(-а) название на 5.04. Утвердить Мотивацию и занесети в документы;_x000a_2026-04-28 18:44:24: Екатерина переместил(-а) задачу в проекте ЛИЧНО сентябрь 24.09.2026 в колонку Дивизион Конференции / К работе;_x000a_2026-04-29 12:37:22: Екатерина изменил(-а) дату на 30.05.2026;_x000a_2026-04-29 12:37:29: Екатерина изменил(-а) дату на 30.05.2026 - 04.06.2026;_x000a_2026-04-29 12:37:32: Екатерина изменил(-а) дату на 31.05.2026 - 04.06.2026;_x000a_2026-04-29 12:37:35: Екатерина изменил(-а) дату на 01.06.2026 - 04.06.2026;_x000a_2026-04-29 13:28:21: Екатерина добавил(-а) тег РГП;_x000a_2026-04-29 13:28:21: Екатерина добавил(-а) тег Продюсер;_x000a_2026-04-29 13:28:29: Екатерина убрал(-а) тег Продюсер;_x000a_2026-04-29 13:28:32: Екатерина добавил(-а) тег страт-п-с-26-09;_x000a_2026-04-30 10:33:57: Екатерина назначил(-а) Нелли исполнителем"/>
    <x v="0"/>
    <x v="7"/>
    <x v="5"/>
  </r>
  <r>
    <n v="186"/>
    <s v="ЛИЧНО сентябрь 24.09.2026"/>
    <s v="Дивизион Конференции"/>
    <s v="К работе"/>
    <m/>
    <m/>
    <s v="Екатерина"/>
    <s v="5.05. Формулировки передать в 1С"/>
    <s v="01.06.2026 03:00"/>
    <x v="1"/>
    <m/>
    <s v="Действие"/>
    <s v="Низкий"/>
    <s v="N"/>
    <m/>
    <s v="28.04.2026 11:21:25"/>
    <m/>
    <s v="Нелли"/>
    <s v="Екатерина, Нелли"/>
    <m/>
    <m/>
    <s v="N"/>
    <s v="N"/>
    <m/>
    <x v="16"/>
    <m/>
    <s v="2026-04-28 11:21:26: Екатерина создал(-а) задачу;_x000a_2026-04-28 11:27:06: Екатерина добавил(-а) тег PRE;_x000a_2026-04-28 17:33:43: Екатерина изменил(-а) название на 5.05. Формулировки передать в 1С;_x000a_2026-04-28 18:44:28: Екатерина переместил(-а) задачу в проекте ЛИЧНО сентябрь 24.09.2026 в колонку Дивизион Конференции / К работе;_x000a_2026-04-29 12:37:39: Екатерина изменил(-а) дату на 17.06.2026;_x000a_2026-04-29 12:59:19: Екатерина изменил(-а) дату на 14.06.2026 - 17.06.2026;_x000a_2026-04-29 12:59:27: Екатерина изменил(-а) дату на 01.06.2026 - 17.06.2026;_x000a_2026-04-29 12:59:36: Екатерина изменил(-а) дату на 01.06.2026 - 09.06.2026;_x000a_2026-04-29 12:59:42: Екатерина изменил(-а) дату на 01.06.2026 - 04.06.2026;_x000a_2026-04-29 13:31:01: Екатерина добавил(-а) тег страт-п-с-26-09;_x000a_2026-04-29 13:31:01: Екатерина добавил(-а) тег РГП;_x000a_2026-04-30 10:34:01: Екатерина назначил(-а) Нелли исполнителем;_x000a_2026-04-30 14:41:03: Екатерина убрал(-а) тег страт-п-с-26-09;_x000a_2026-04-30 14:41:06: Екатерина добавил(-а) тег страт-п-с-26-09"/>
    <x v="0"/>
    <x v="7"/>
    <x v="5"/>
  </r>
  <r>
    <n v="185"/>
    <s v="ЛИЧНО сентябрь 24.09.2026"/>
    <s v="Дивизион Конференции"/>
    <s v="К работе"/>
    <m/>
    <m/>
    <s v="Екатерина"/>
    <s v="5.06. Создать Товары в CRM"/>
    <s v="01.06.2026 03:00"/>
    <x v="1"/>
    <m/>
    <s v="Действие"/>
    <s v="Низкий"/>
    <s v="N"/>
    <m/>
    <s v="28.04.2026 11:21:10"/>
    <m/>
    <s v="Нелли"/>
    <s v="Екатерина, Нелли"/>
    <m/>
    <m/>
    <s v="N"/>
    <s v="N"/>
    <m/>
    <x v="16"/>
    <m/>
    <s v="2026-04-28 11:21:10: Екатерина создал(-а) задачу;_x000a_2026-04-28 11:27:12: Екатерина добавил(-а) тег PRE;_x000a_2026-04-28 17:33:54: Екатерина изменил(-а) название на 5.06. Создать Товары в CRM;_x000a_2026-04-28 18:44:30: Екатерина переместил(-а) задачу в проекте ЛИЧНО сентябрь 24.09.2026 в колонку Дивизион Конференции / К работе;_x000a_2026-04-29 12:58:44: Екатерина изменил(-а) дату на 01.06.2026;_x000a_2026-04-29 12:58:47: Екатерина изменил(-а) дату на 01.06.2026 - 04.06.2026;_x000a_2026-04-29 13:31:10: Екатерина добавил(-а) тег РГП;_x000a_2026-04-29 13:31:11: Екатерина убрал(-а) тег РГП;_x000a_2026-04-29 13:31:11: Екатерина добавил(-а) тег страт-п-с-26-09;_x000a_2026-04-29 13:31:17: Екатерина добавил(-а) тег РГП;_x000a_2026-04-30 10:34:07: Екатерина назначил(-а) Нелли исполнителем;_x000a_2026-04-30 14:41:14: Екатерина убрал(-а) тег страт-п-с-26-09;_x000a_2026-04-30 14:41:16: Екатерина добавил(-а) тег страт-п-с-26-09"/>
    <x v="0"/>
    <x v="7"/>
    <x v="5"/>
  </r>
  <r>
    <n v="184"/>
    <s v="ЛИЧНО сентябрь 24.09.2026"/>
    <s v="Дивизион Конференции"/>
    <s v="К работе"/>
    <m/>
    <m/>
    <s v="Екатерина"/>
    <s v="5.07. Подготовить Воронку в CRM"/>
    <s v="08.06.2026 03:00"/>
    <x v="17"/>
    <m/>
    <s v="Действие"/>
    <s v="Низкий"/>
    <s v="N"/>
    <m/>
    <s v="28.04.2026 11:20:57"/>
    <m/>
    <s v="Нелли"/>
    <s v="Екатерина, Нелли"/>
    <m/>
    <m/>
    <s v="N"/>
    <s v="N"/>
    <m/>
    <x v="16"/>
    <m/>
    <s v="2026-04-28 11:20:57: Екатерина создал(-а) задачу;_x000a_2026-04-28 11:27:17: Екатерина добавил(-а) тег PRE;_x000a_2026-04-28 17:34:00: Екатерина изменил(-а) название на 5.07. Подготовить Воронку в CRM;_x000a_2026-04-28 18:44:33: Екатерина переместил(-а) задачу в проекте ЛИЧНО сентябрь 24.09.2026 в колонку Дивизион Конференции / К работе;_x000a_2026-04-29 12:59:54: Екатерина изменил(-а) дату на 08.06.2026;_x000a_2026-04-29 12:59:57: Екатерина изменил(-а) дату на 08.06.2026 - 11.06.2026;_x000a_2026-04-29 13:31:23: Екатерина добавил(-а) тег РГП;_x000a_2026-04-29 13:31:24: Екатерина добавил(-а) тег страт-п-с-26-09;_x000a_2026-04-30 10:34:11: Екатерина назначил(-а) Нелли исполнителем"/>
    <x v="0"/>
    <x v="7"/>
    <x v="5"/>
  </r>
  <r>
    <n v="183"/>
    <s v="ЛИЧНО сентябрь 24.09.2026"/>
    <s v="Дивизион Конференции"/>
    <s v="К работе"/>
    <m/>
    <m/>
    <s v="Екатерина"/>
    <s v="5.08. Закреп с Сейл-китом выложить в рабочий чат"/>
    <s v="08.06.2026 03:00"/>
    <x v="17"/>
    <m/>
    <s v="Действие"/>
    <s v="Низкий"/>
    <s v="N"/>
    <m/>
    <s v="28.04.2026 11:20:42"/>
    <m/>
    <s v="Нелли"/>
    <s v="Екатерина, Нелли"/>
    <m/>
    <m/>
    <s v="N"/>
    <s v="N"/>
    <m/>
    <x v="16"/>
    <m/>
    <s v="2026-04-28 11:20:42: Екатерина создал(-а) задачу;_x000a_2026-04-28 11:27:22: Екатерина добавил(-а) тег PRE;_x000a_2026-04-28 17:34:11: Екатерина изменил(-а) название на 5.08. Закреп с Сейл-китом выложить в рабочий чат;_x000a_2026-04-28 18:44:41: Екатерина переместил(-а) задачу в проекте ЛИЧНО сентябрь 24.09.2026 в колонку Дивизион Конференции / К работе;_x000a_2026-04-29 13:00:00: Екатерина изменил(-а) дату на 08.06.2026;_x000a_2026-04-29 13:00:01: Екатерина изменил(-а) дату на 08.06.2026 - 11.06.2026;_x000a_2026-04-29 13:31:34: Екатерина добавил(-а) тег РГП;_x000a_2026-04-29 13:31:36: Екатерина добавил(-а) тег страт-п-с-26-09;_x000a_2026-04-30 10:34:14: Екатерина назначил(-а) Нелли исполнителем"/>
    <x v="0"/>
    <x v="7"/>
    <x v="5"/>
  </r>
  <r>
    <n v="182"/>
    <s v="ЛИЧНО сентябрь 24.09.2026"/>
    <s v="Дивизион Конференции"/>
    <s v="К работе"/>
    <m/>
    <m/>
    <s v="Екатерина"/>
    <s v="5.09. Провести Обучение и тестирование менеджеров"/>
    <s v="15.06.2026 03:00"/>
    <x v="16"/>
    <m/>
    <s v="Действие"/>
    <s v="Низкий"/>
    <s v="N"/>
    <m/>
    <s v="28.04.2026 11:20:27"/>
    <m/>
    <s v="Нелли"/>
    <s v="Екатерина, Нелли"/>
    <m/>
    <m/>
    <s v="N"/>
    <s v="N"/>
    <m/>
    <x v="16"/>
    <m/>
    <s v="2026-04-28 11:20:27: Екатерина создал(-а) задачу;_x000a_2026-04-28 11:27:36: Екатерина добавил(-а) тег PRE;_x000a_2026-04-28 17:34:22: Екатерина изменил(-а) название на 5.09. Провести Обучение и тестирование менеджеров;_x000a_2026-04-28 18:44:44: Екатерина переместил(-а) задачу в проекте ЛИЧНО сентябрь 24.09.2026 в колонку Дивизион Конференции / К работе;_x000a_2026-04-29 13:00:02: Екатерина изменил(-а) дату на 08.06.2026;_x000a_2026-04-29 13:00:04: Екатерина изменил(-а) дату на 08.06.2026 - 11.06.2026;_x000a_2026-04-29 13:01:19: Екатерина изменил(-а) дату на 08.06.2026 - 14.06.2026;_x000a_2026-04-29 13:01:27: Екатерина изменил(-а) дату на 08.06.2026 - 18.06.2026;_x000a_2026-04-29 13:01:30: Екатерина изменил(-а) дату на 16.06.2026 - 18.06.2026;_x000a_2026-04-29 13:01:32: Екатерина изменил(-а) дату на 15.06.2026 - 18.06.2026;_x000a_2026-04-29 13:31:41: Екатерина добавил(-а) тег РГП;_x000a_2026-04-29 13:31:42: Екатерина добавил(-а) тег страт-п-с-26-09;_x000a_2026-04-30 10:34:17: Екатерина назначил(-а) Нелли исполнителем"/>
    <x v="0"/>
    <x v="7"/>
    <x v="5"/>
  </r>
  <r>
    <n v="181"/>
    <s v="ЛИЧНО сентябрь 24.09.2026"/>
    <s v="Дивизион Конференции"/>
    <s v="К работе"/>
    <m/>
    <m/>
    <s v="Екатерина"/>
    <s v="5.10. Подготовить понедельный план набора"/>
    <s v="22.06.2026 03:00"/>
    <x v="15"/>
    <m/>
    <s v="Действие"/>
    <s v="Низкий"/>
    <s v="N"/>
    <m/>
    <s v="28.04.2026 11:20:15"/>
    <m/>
    <s v="Нелли"/>
    <s v="Екатерина, Нелли"/>
    <m/>
    <m/>
    <s v="N"/>
    <s v="N"/>
    <m/>
    <x v="16"/>
    <m/>
    <s v="2026-04-28 11:20:15: Екатерина создал(-а) задачу;_x000a_2026-04-28 11:26:29: Екатерина добавил(-а) тег PRE;_x000a_2026-04-28 18:44:48: Екатерина переместил(-а) задачу в проекте ЛИЧНО сентябрь 24.09.2026 в колонку Дивизион Конференции / К работе;_x000a_2026-04-29 13:01:41: Екатерина изменил(-а) дату на 22.06.2026;_x000a_2026-04-29 13:01:44: Екатерина изменил(-а) дату на 22.06.2026 - 26.06.2026;_x000a_2026-04-29 13:02:04: Екатерина изменил(-а) дату на 22.06.2026 - 25.06.2026;_x000a_2026-04-29 13:31:47: Екатерина добавил(-а) тег РГП;_x000a_2026-04-29 13:31:47: Екатерина добавил(-а) тег страт-п-с-26-09;_x000a_2026-04-30 10:34:20: Екатерина назначил(-а) Нелли исполнителем"/>
    <x v="0"/>
    <x v="7"/>
    <x v="5"/>
  </r>
  <r>
    <n v="180"/>
    <s v="ЛИЧНО сентябрь 24.09.2026"/>
    <s v="Дивизион Конференции"/>
    <s v="К работе"/>
    <m/>
    <m/>
    <s v="Екатерина"/>
    <s v="5.11. Провести индивидуальный разбор воронки каждого менеджера"/>
    <s v="27.07.2026 03:00"/>
    <x v="14"/>
    <m/>
    <s v="Действие"/>
    <s v="Низкий"/>
    <s v="N"/>
    <m/>
    <s v="28.04.2026 11:19:56"/>
    <m/>
    <s v="Нелли"/>
    <s v="Екатерина, Нелли"/>
    <m/>
    <m/>
    <s v="N"/>
    <s v="N"/>
    <m/>
    <x v="17"/>
    <m/>
    <s v="2026-04-28 11:19:56: Екатерина создал(-а) задачу;_x000a_2026-04-28 11:26:23: Екатерина добавил(-а) тег PRO;_x000a_2026-04-28 18:44:51: Екатерина переместил(-а) задачу в проекте ЛИЧНО сентябрь 24.09.2026 в колонку Дивизион Конференции / К работе;_x000a_2026-04-29 13:03:02: Екатерина изменил(-а) дату на 27.07.2026;_x000a_2026-04-29 13:03:08: Екатерина изменил(-а) дату на 27.07.2026 - 30.07.2026;_x000a_2026-04-29 13:31:53: Екатерина добавил(-а) тег РГП;_x000a_2026-04-29 13:31:54: Екатерина добавил(-а) тег страт-п-с-26-09;_x000a_2026-04-30 10:34:22: Екатерина назначил(-а) Нелли исполнителем"/>
    <x v="0"/>
    <x v="7"/>
    <x v="5"/>
  </r>
  <r>
    <n v="179"/>
    <s v="ЛИЧНО сентябрь 24.09.2026"/>
    <s v="Дивизион Конференции"/>
    <s v="К работе"/>
    <m/>
    <m/>
    <s v="Екатерина"/>
    <s v="5.12. Провести летучку с менеджерами"/>
    <s v="27.07.2026 03:00"/>
    <x v="14"/>
    <m/>
    <s v="Действие"/>
    <s v="Низкий"/>
    <s v="N"/>
    <m/>
    <s v="28.04.2026 11:19:43"/>
    <m/>
    <s v="Нелли"/>
    <s v="Екатерина, Нелли"/>
    <m/>
    <m/>
    <s v="N"/>
    <s v="N"/>
    <m/>
    <x v="17"/>
    <m/>
    <s v="2026-04-28 11:19:44: Екатерина создал(-а) задачу;_x000a_2026-04-28 11:26:34: Екатерина добавил(-а) тег PRO;_x000a_2026-04-28 18:44:56: Екатерина переместил(-а) задачу в проекте ЛИЧНО сентябрь 24.09.2026 в колонку Дивизион Конференции / К работе;_x000a_2026-04-29 13:03:11: Екатерина изменил(-а) дату на 27.07.2026;_x000a_2026-04-29 13:03:14: Екатерина изменил(-а) дату на 27.07.2026 - 30.07.2026;_x000a_2026-04-29 13:32:02: Екатерина добавил(-а) тег РГП;_x000a_2026-04-29 13:32:03: Екатерина добавил(-а) тег страт-п-с-26-09;_x000a_2026-04-30 10:34:28: Екатерина назначил(-а) Нелли исполнителем"/>
    <x v="0"/>
    <x v="7"/>
    <x v="5"/>
  </r>
  <r>
    <n v="178"/>
    <s v="ЛИЧНО сентябрь 24.09.2026"/>
    <s v="Дивизион Конференции"/>
    <s v="К работе"/>
    <m/>
    <m/>
    <s v="Екатерина"/>
    <s v="5.13. Проконтролировать выполнение отчета по отказам"/>
    <s v="27.07.2026 03:00"/>
    <x v="14"/>
    <m/>
    <s v="Действие"/>
    <s v="Низкий"/>
    <s v="N"/>
    <m/>
    <s v="28.04.2026 11:19:27"/>
    <m/>
    <s v="Нелли"/>
    <s v="Екатерина, Нелли"/>
    <m/>
    <m/>
    <s v="N"/>
    <s v="N"/>
    <m/>
    <x v="17"/>
    <m/>
    <s v="2026-04-28 11:19:28: Екатерина создал(-а) задачу;_x000a_2026-04-28 11:27:45: Екатерина добавил(-а) тег PRO;_x000a_2026-04-28 18:45:51: Екатерина переместил(-а) задачу в проекте ЛИЧНО сентябрь 24.09.2026 в колонку Дивизион Конференции / К работе;_x000a_2026-04-29 13:03:17: Екатерина изменил(-а) дату на 27.07.2026;_x000a_2026-04-29 13:03:19: Екатерина изменил(-а) дату на 27.07.2026 - 30.07.2026;_x000a_2026-04-29 13:32:09: Екатерина добавил(-а) тег РГП;_x000a_2026-04-29 13:32:10: Екатерина добавил(-а) тег страт-п-с-26-09;_x000a_2026-04-30 10:34:35: Екатерина назначил(-а) Нелли исполнителем"/>
    <x v="0"/>
    <x v="7"/>
    <x v="5"/>
  </r>
  <r>
    <n v="177"/>
    <s v="ЛИЧНО сентябрь 24.09.2026"/>
    <s v="Дивизион Конференции"/>
    <s v="К работе"/>
    <m/>
    <m/>
    <s v="Екатерина"/>
    <s v="5.14. Провести летучку с Рабочей группой"/>
    <s v="27.07.2026 03:00"/>
    <x v="14"/>
    <m/>
    <s v="Действие"/>
    <s v="Низкий"/>
    <s v="N"/>
    <m/>
    <s v="28.04.2026 11:19:09"/>
    <m/>
    <s v="Нелли"/>
    <s v="Екатерина, Нелли"/>
    <m/>
    <m/>
    <s v="N"/>
    <s v="N"/>
    <m/>
    <x v="17"/>
    <m/>
    <s v="2026-04-28 11:19:10: Екатерина создал(-а) задачу;_x000a_2026-04-28 11:27:50: Екатерина добавил(-а) тег PRO;_x000a_2026-04-28 18:45:54: Екатерина переместил(-а) задачу в проекте ЛИЧНО сентябрь 24.09.2026 в колонку Дивизион Конференции / К работе;_x000a_2026-04-29 13:03:20: Екатерина изменил(-а) дату на 27.07.2026;_x000a_2026-04-29 13:03:22: Екатерина изменил(-а) дату на 27.07.2026 - 31.07.2026;_x000a_2026-04-29 13:03:25: Екатерина изменил(-а) дату на 27.07.2026 - 30.07.2026;_x000a_2026-04-29 13:32:15: Екатерина добавил(-а) тег РГП;_x000a_2026-04-29 13:32:16: Екатерина добавил(-а) тег страт-п-с-26-09;_x000a_2026-04-30 10:34:36: Екатерина назначил(-а) Нелли исполнителем"/>
    <x v="0"/>
    <x v="7"/>
    <x v="5"/>
  </r>
  <r>
    <n v="176"/>
    <s v="ЛИЧНО сентябрь 24.09.2026"/>
    <s v="Дивизион Конференции"/>
    <s v="К работе"/>
    <m/>
    <m/>
    <s v="Екатерина"/>
    <s v="5.15. Cделать Отчет по конверсии на планерке (10% набора по заявкам)"/>
    <s v="03.08.2026 03:00"/>
    <x v="13"/>
    <m/>
    <s v="Действие"/>
    <s v="Низкий"/>
    <s v="N"/>
    <m/>
    <s v="28.04.2026 11:18:51"/>
    <m/>
    <s v="Нелли"/>
    <s v="Екатерина, Нелли"/>
    <m/>
    <m/>
    <s v="N"/>
    <s v="N"/>
    <m/>
    <x v="17"/>
    <m/>
    <s v="2026-04-28 11:18:51: Екатерина создал(-а) задачу;_x000a_2026-04-28 11:27:54: Екатерина добавил(-а) тег PRO;_x000a_2026-04-28 18:45:56: Екатерина переместил(-а) задачу в проекте ЛИЧНО сентябрь 24.09.2026 в колонку Дивизион Конференции / К работе;_x000a_2026-04-29 13:03:36: Екатерина изменил(-а) дату на 03.08.2026;_x000a_2026-04-29 13:03:39: Екатерина изменил(-а) дату на 03.08.2026 - 05.08.2026;_x000a_2026-04-29 13:03:44: Екатерина изменил(-а) дату на 03.08.2026 - 06.08.2026;_x000a_2026-04-29 13:32:22: Екатерина добавил(-а) тег РГП;_x000a_2026-04-29 13:32:23: Екатерина добавил(-а) тег страт-п-с-26-09;_x000a_2026-04-30 10:34:36: Екатерина назначил(-а) Нелли исполнителем"/>
    <x v="0"/>
    <x v="7"/>
    <x v="5"/>
  </r>
  <r>
    <n v="175"/>
    <s v="ЛИЧНО сентябрь 24.09.2026"/>
    <s v="Дивизион Конференции"/>
    <s v="К работе"/>
    <m/>
    <m/>
    <s v="Екатерина"/>
    <s v="5.16. Актуализировать цены на сайте"/>
    <s v="03.08.2026 03:00"/>
    <x v="13"/>
    <m/>
    <s v="Действие"/>
    <s v="Низкий"/>
    <s v="N"/>
    <m/>
    <s v="28.04.2026 11:18:34"/>
    <m/>
    <s v="Нелли"/>
    <s v="Екатерина, Нелли"/>
    <m/>
    <m/>
    <s v="N"/>
    <s v="N"/>
    <m/>
    <x v="17"/>
    <m/>
    <s v="2026-04-28 11:18:34: Екатерина создал(-а) задачу;_x000a_2026-04-28 11:28:11: Екатерина добавил(-а) тег PRO;_x000a_2026-04-28 18:46:00: Екатерина переместил(-а) задачу в проекте ЛИЧНО сентябрь 24.09.2026 в колонку Дивизион Конференции / К работе;_x000a_2026-04-29 13:03:48: Екатерина изменил(-а) дату на 03.08.2026;_x000a_2026-04-29 13:03:50: Екатерина изменил(-а) дату на 03.08.2026 - 06.08.2026;_x000a_2026-04-29 13:32:30: Екатерина добавил(-а) тег РГП;_x000a_2026-04-29 13:32:31: Екатерина добавил(-а) тег страт-п-с-26-09;_x000a_2026-04-30 10:34:52: Екатерина назначил(-а) Нелли исполнителем"/>
    <x v="0"/>
    <x v="7"/>
    <x v="5"/>
  </r>
  <r>
    <n v="174"/>
    <s v="ЛИЧНО сентябрь 24.09.2026"/>
    <s v="Дивизион Конференции"/>
    <s v="К работе"/>
    <m/>
    <m/>
    <s v="Екатерина"/>
    <s v="5.17. Провести индивидуальный разбор воронки каждого менеджера"/>
    <s v="03.08.2026 03:00"/>
    <x v="13"/>
    <m/>
    <s v="Действие"/>
    <s v="Низкий"/>
    <s v="N"/>
    <m/>
    <s v="28.04.2026 11:18:19"/>
    <m/>
    <s v="Нелли"/>
    <s v="Екатерина, Нелли"/>
    <m/>
    <m/>
    <s v="N"/>
    <s v="N"/>
    <m/>
    <x v="17"/>
    <m/>
    <s v="2026-04-28 11:18:19: Екатерина создал(-а) задачу;_x000a_2026-04-28 11:28:16: Екатерина добавил(-а) тег PRO;_x000a_2026-04-28 18:46:03: Екатерина переместил(-а) задачу в проекте ЛИЧНО сентябрь 24.09.2026 в колонку Дивизион Конференции / К работе;_x000a_2026-04-29 13:03:50: Екатерина изменил(-а) дату на 03.08.2026;_x000a_2026-04-29 13:03:52: Екатерина изменил(-а) дату на 03.08.2026 - 06.08.2026;_x000a_2026-04-29 13:33:18: Екатерина добавил(-а) тег РГП;_x000a_2026-04-29 13:33:18: Екатерина добавил(-а) тег страт-п-с-26-09;_x000a_2026-04-30 10:34:54: Екатерина назначил(-а) Нелли исполнителем"/>
    <x v="0"/>
    <x v="7"/>
    <x v="5"/>
  </r>
  <r>
    <n v="173"/>
    <s v="ЛИЧНО сентябрь 24.09.2026"/>
    <s v="Дивизион Конференции"/>
    <s v="К работе"/>
    <m/>
    <m/>
    <s v="Екатерина"/>
    <s v="5.18. Сделать отчет Рабочей группе по отказам"/>
    <s v="10.08.2026 03:00"/>
    <x v="12"/>
    <m/>
    <s v="Действие"/>
    <s v="Низкий"/>
    <s v="N"/>
    <m/>
    <s v="28.04.2026 11:18:06"/>
    <m/>
    <s v="Нелли"/>
    <s v="Екатерина, Нелли"/>
    <m/>
    <m/>
    <s v="N"/>
    <s v="N"/>
    <m/>
    <x v="17"/>
    <m/>
    <s v="2026-04-28 11:18:07: Екатерина создал(-а) задачу;_x000a_2026-04-28 11:28:19: Екатерина добавил(-а) тег PRO;_x000a_2026-04-28 18:46:06: Екатерина переместил(-а) задачу в проекте ЛИЧНО сентябрь 24.09.2026 в колонку Дивизион Конференции / К работе;_x000a_2026-04-29 13:04:11: Екатерина изменил(-а) дату на 07.08.2026;_x000a_2026-04-29 13:04:19: Екатерина изменил(-а) дату на 07.08.2026 - 11.08.2026;_x000a_2026-04-29 13:04:22: Екатерина изменил(-а) дату на 10.08.2026 - 11.08.2026;_x000a_2026-04-29 13:04:24: Екатерина изменил(-а) дату на 10.08.2026 - 13.08.2026;_x000a_2026-04-29 13:33:24: Екатерина добавил(-а) тег РГП;_x000a_2026-04-29 13:33:30: Екатерина добавил(-а) тег страт-п-с-26-09;_x000a_2026-04-30 10:34:57: Екатерина назначил(-а) Нелли исполнителем"/>
    <x v="0"/>
    <x v="7"/>
    <x v="5"/>
  </r>
  <r>
    <n v="172"/>
    <s v="ЛИЧНО сентябрь 24.09.2026"/>
    <s v="Дивизион Конференции"/>
    <s v="К работе"/>
    <m/>
    <m/>
    <s v="Екатерина"/>
    <s v="5.19. Провести сверку по KPI: Мастердата обработана на 80%"/>
    <s v="10.08.2026 03:00"/>
    <x v="12"/>
    <m/>
    <s v="Действие"/>
    <s v="Низкий"/>
    <s v="N"/>
    <m/>
    <s v="28.04.2026 11:17:48"/>
    <m/>
    <s v="Нелли"/>
    <s v="Екатерина, Нелли"/>
    <m/>
    <m/>
    <s v="N"/>
    <s v="N"/>
    <m/>
    <x v="17"/>
    <m/>
    <s v="2026-04-28 11:17:48: Екатерина создал(-а) задачу;_x000a_2026-04-28 11:28:23: Екатерина добавил(-а) тег PRO;_x000a_2026-04-28 18:46:08: Екатерина переместил(-а) задачу в проекте ЛИЧНО сентябрь 24.09.2026 в колонку Дивизион Конференции / К работе;_x000a_2026-04-29 13:04:25: Екатерина изменил(-а) дату на 10.08.2026;_x000a_2026-04-29 13:04:26: Екатерина изменил(-а) дату на 10.08.2026 - 13.08.2026;_x000a_2026-04-29 13:33:47: Екатерина добавил(-а) тег РГП;_x000a_2026-04-29 13:33:49: Екатерина добавил(-а) тег страт-п-с-26-09;_x000a_2026-04-30 10:35:00: Екатерина назначил(-а) Нелли исполнителем"/>
    <x v="0"/>
    <x v="7"/>
    <x v="5"/>
  </r>
  <r>
    <n v="171"/>
    <s v="ЛИЧНО сентябрь 24.09.2026"/>
    <s v="Дивизион Конференции"/>
    <s v="К работе"/>
    <m/>
    <m/>
    <s v="Екатерина"/>
    <s v="5.20. Сделать отчет по конверсии на планерке (KPI: 25% набора по заявкам)"/>
    <s v="10.08.2026 03:00"/>
    <x v="12"/>
    <m/>
    <s v="Действие"/>
    <s v="Низкий"/>
    <s v="N"/>
    <m/>
    <s v="28.04.2026 11:17:33"/>
    <m/>
    <s v="Нелли"/>
    <s v="Екатерина, Нелли"/>
    <m/>
    <m/>
    <s v="N"/>
    <s v="N"/>
    <m/>
    <x v="17"/>
    <m/>
    <s v="2026-04-28 11:17:34: Екатерина создал(-а) задачу;_x000a_2026-04-28 11:28:43: Екатерина добавил(-а) тег PRO;_x000a_2026-04-28 18:46:12: Екатерина переместил(-а) задачу в проекте ЛИЧНО сентябрь 24.09.2026 в колонку Дивизион Конференции / К работе;_x000a_2026-04-29 13:04:31: Екатерина изменил(-а) дату на 10.08.2026;_x000a_2026-04-29 13:04:32: Екатерина изменил(-а) дату на 10.08.2026 - 13.08.2026;_x000a_2026-04-29 13:34:02: Екатерина добавил(-а) тег РГП;_x000a_2026-04-29 13:34:06: Екатерина добавил(-а) тег страт-п-с-26-09;_x000a_2026-04-30 10:35:03: Екатерина назначил(-а) Нелли исполнителем"/>
    <x v="0"/>
    <x v="7"/>
    <x v="5"/>
  </r>
  <r>
    <n v="170"/>
    <s v="ЛИЧНО сентябрь 24.09.2026"/>
    <s v="Дивизион Конференции"/>
    <s v="К работе"/>
    <m/>
    <m/>
    <s v="Екатерина"/>
    <s v="5.21. Актуализировать цены на сайте"/>
    <s v="10.08.2026 03:00"/>
    <x v="12"/>
    <m/>
    <s v="Действие"/>
    <s v="Низкий"/>
    <s v="N"/>
    <m/>
    <s v="28.04.2026 11:17:16"/>
    <m/>
    <s v="Нелли"/>
    <s v="Екатерина, Нелли"/>
    <m/>
    <m/>
    <s v="N"/>
    <s v="N"/>
    <m/>
    <x v="17"/>
    <m/>
    <s v="2026-04-28 11:17:16: Екатерина создал(-а) задачу;_x000a_2026-04-28 11:28:50: Екатерина добавил(-а) тег PRO;_x000a_2026-04-28 18:46:15: Екатерина переместил(-а) задачу в проекте ЛИЧНО сентябрь 24.09.2026 в колонку Дивизион Конференции / К работе;_x000a_2026-04-29 13:04:32: Екатерина изменил(-а) дату на 10.08.2026;_x000a_2026-04-29 13:04:34: Екатерина изменил(-а) дату на 10.08.2026 - 13.08.2026;_x000a_2026-04-29 13:34:12: Екатерина добавил(-а) тег РГП;_x000a_2026-04-29 13:34:16: Екатерина добавил(-а) тег страт-п-с-26-09;_x000a_2026-04-30 10:35:06: Екатерина назначил(-а) Нелли исполнителем"/>
    <x v="0"/>
    <x v="7"/>
    <x v="5"/>
  </r>
  <r>
    <n v="169"/>
    <s v="ЛИЧНО сентябрь 24.09.2026"/>
    <s v="Дивизион Конференции"/>
    <s v="К работе"/>
    <m/>
    <m/>
    <s v="Екатерина"/>
    <s v="5.22. Сделать Отчет рабочей группе по отказам"/>
    <s v="17.08.2026 03:00"/>
    <x v="11"/>
    <m/>
    <s v="Действие"/>
    <s v="Низкий"/>
    <s v="N"/>
    <m/>
    <s v="28.04.2026 11:16:58"/>
    <m/>
    <s v="Нелли"/>
    <s v="Екатерина, Нелли"/>
    <m/>
    <m/>
    <s v="N"/>
    <s v="N"/>
    <m/>
    <x v="17"/>
    <m/>
    <s v="2026-04-28 11:16:59: Екатерина создал(-а) задачу;_x000a_2026-04-28 11:28:54: Екатерина добавил(-а) тег PRO;_x000a_2026-04-28 18:46:25: Екатерина переместил(-а) задачу в проекте ЛИЧНО сентябрь 24.09.2026 в колонку Дивизион Конференции / К работе;_x000a_2026-04-29 13:04:47: Екатерина изменил(-а) дату на 17.08.2026;_x000a_2026-04-29 13:04:49: Екатерина изменил(-а) дату на 17.08.2026 - 20.08.2026;_x000a_2026-04-29 13:34:39: Екатерина добавил(-а) тег РГП;_x000a_2026-04-29 13:34:44: Екатерина добавил(-а) тег страт-п-с-26-09;_x000a_2026-04-30 10:35:09: Екатерина назначил(-а) Нелли исполнителем"/>
    <x v="0"/>
    <x v="7"/>
    <x v="5"/>
  </r>
  <r>
    <n v="168"/>
    <s v="ЛИЧНО сентябрь 24.09.2026"/>
    <s v="Дивизион Конференции"/>
    <s v="К работе"/>
    <m/>
    <m/>
    <s v="Екатерина"/>
    <s v="5.23. Провести сверку по KPI: Мастердата обработана на 100%"/>
    <s v="17.08.2026 03:00"/>
    <x v="11"/>
    <m/>
    <s v="Действие"/>
    <s v="Низкий"/>
    <s v="N"/>
    <m/>
    <s v="28.04.2026 11:16:36"/>
    <m/>
    <s v="Нелли"/>
    <s v="Екатерина, Нелли"/>
    <m/>
    <m/>
    <s v="N"/>
    <s v="N"/>
    <m/>
    <x v="17"/>
    <m/>
    <s v="2026-04-28 11:16:37: Екатерина создал(-а) задачу;_x000a_2026-04-28 11:29:03: Екатерина добавил(-а) тег PRO;_x000a_2026-04-28 18:46:28: Екатерина переместил(-а) задачу в проекте ЛИЧНО сентябрь 24.09.2026 в колонку Дивизион Конференции / К работе;_x000a_2026-04-29 13:04:52: Екатерина изменил(-а) дату на 17.08.2026;_x000a_2026-04-29 13:04:54: Екатерина изменил(-а) дату на 17.08.2026 - 20.08.2026;_x000a_2026-04-29 13:34:51: Екатерина добавил(-а) тег РГП;_x000a_2026-04-29 13:34:55: Екатерина добавил(-а) тег страт-п-с-26-09;_x000a_2026-04-30 10:35:13: Екатерина назначил(-а) Нелли исполнителем"/>
    <x v="0"/>
    <x v="7"/>
    <x v="5"/>
  </r>
  <r>
    <n v="167"/>
    <s v="ЛИЧНО сентябрь 24.09.2026"/>
    <s v="Дивизион Конференции"/>
    <s v="К работе"/>
    <m/>
    <m/>
    <s v="Екатерина"/>
    <s v="5.24. Сделать отчет по конверсии на планерке (Сверка по KPI: 35-40 % набора по заявкам)"/>
    <s v="17.08.2026 03:00"/>
    <x v="11"/>
    <m/>
    <s v="Действие"/>
    <s v="Низкий"/>
    <s v="N"/>
    <m/>
    <s v="28.04.2026 11:16:19"/>
    <m/>
    <s v="Нелли"/>
    <s v="Екатерина, Нелли"/>
    <m/>
    <m/>
    <s v="N"/>
    <s v="N"/>
    <m/>
    <x v="17"/>
    <m/>
    <s v="2026-04-28 11:16:19: Екатерина создал(-а) задачу;_x000a_2026-04-28 11:29:10: Екатерина добавил(-а) тег PRO;_x000a_2026-04-28 18:46:31: Екатерина переместил(-а) задачу в проекте ЛИЧНО сентябрь 24.09.2026 в колонку Дивизион Конференции / К работе;_x000a_2026-04-29 13:04:55: Екатерина изменил(-а) дату на 17.08.2026;_x000a_2026-04-29 13:05:04: Екатерина изменил(-а) дату на 17.08.2026 - 20.08.2026;_x000a_2026-04-29 13:35:00: Екатерина добавил(-а) тег РГП;_x000a_2026-04-29 13:35:02: Екатерина добавил(-а) тег страт-п-с-26-09;_x000a_2026-04-30 10:35:20: Екатерина назначил(-а) Нелли исполнителем"/>
    <x v="0"/>
    <x v="7"/>
    <x v="5"/>
  </r>
  <r>
    <n v="166"/>
    <s v="ЛИЧНО сентябрь 24.09.2026"/>
    <s v="Дивизион Конференции"/>
    <s v="К работе"/>
    <m/>
    <m/>
    <s v="Екатерина"/>
    <s v="5.25. Актуализировать цены на сайте"/>
    <s v="17.08.2026 03:00"/>
    <x v="11"/>
    <m/>
    <s v="Действие"/>
    <s v="Низкий"/>
    <s v="N"/>
    <m/>
    <s v="28.04.2026 11:15:58"/>
    <m/>
    <s v="Нелли"/>
    <s v="Екатерина, Нелли"/>
    <m/>
    <m/>
    <s v="N"/>
    <s v="N"/>
    <m/>
    <x v="17"/>
    <m/>
    <s v="2026-04-28 11:15:58: Екатерина создал(-а) задачу;_x000a_2026-04-28 11:29:18: Екатерина добавил(-а) тег PRO;_x000a_2026-04-28 18:46:34: Екатерина переместил(-а) задачу в проекте ЛИЧНО сентябрь 24.09.2026 в колонку Дивизион Конференции / К работе;_x000a_2026-04-29 13:05:04: Екатерина изменил(-а) дату на 17.08.2026;_x000a_2026-04-29 13:05:04: Екатерина изменил(-а) дату на 17.08.2026 - 20.08.2026;_x000a_2026-04-29 13:38:09: Екатерина добавил(-а) тег РГП;_x000a_2026-04-29 13:38:10: Екатерина добавил(-а) тег страт-п-с-26-09;_x000a_2026-04-30 10:35:23: Екатерина назначил(-а) Нелли исполнителем"/>
    <x v="0"/>
    <x v="7"/>
    <x v="5"/>
  </r>
  <r>
    <n v="165"/>
    <s v="ЛИЧНО сентябрь 24.09.2026"/>
    <s v="Дивизион Конференции"/>
    <s v="К работе"/>
    <m/>
    <m/>
    <s v="Екатерина"/>
    <s v="5.26. Сделать Отчет рабочей группе по отказам"/>
    <s v="24.08.2026 03:00"/>
    <x v="10"/>
    <m/>
    <s v="Действие"/>
    <s v="Низкий"/>
    <s v="N"/>
    <m/>
    <s v="28.04.2026 11:15:38"/>
    <m/>
    <s v="Нелли"/>
    <s v="Екатерина, Нелли"/>
    <m/>
    <m/>
    <s v="N"/>
    <s v="N"/>
    <m/>
    <x v="17"/>
    <m/>
    <s v="2026-04-28 11:15:39: Екатерина создал(-а) задачу;_x000a_2026-04-28 11:29:33: Екатерина добавил(-а) тег PRO;_x000a_2026-04-28 18:46:37: Екатерина переместил(-а) задачу в проекте ЛИЧНО сентябрь 24.09.2026 в колонку Дивизион Конференции / К работе;_x000a_2026-04-29 13:05:41: Екатерина изменил(-а) дату на 24.08.2026;_x000a_2026-04-29 13:05:44: Екатерина изменил(-а) дату на 24.08.2026 - 27.08.2026;_x000a_2026-04-29 13:38:31: Екатерина добавил(-а) тег РГП;_x000a_2026-04-29 13:38:31: Екатерина добавил(-а) тег страт-п-с-26-09;_x000a_2026-04-30 10:35:25: Екатерина назначил(-а) Нелли исполнителем"/>
    <x v="0"/>
    <x v="7"/>
    <x v="5"/>
  </r>
  <r>
    <n v="164"/>
    <s v="ЛИЧНО сентябрь 24.09.2026"/>
    <s v="Дивизион Конференции"/>
    <s v="К работе"/>
    <m/>
    <m/>
    <s v="Екатерина"/>
    <s v="5.27. Сделать отчет по конверсии на планерке (Сверка по KPI: 40-45 % набора по заявкам)"/>
    <s v="24.08.2026 03:00"/>
    <x v="10"/>
    <m/>
    <s v="Действие"/>
    <s v="Низкий"/>
    <s v="N"/>
    <m/>
    <s v="28.04.2026 11:15:19"/>
    <m/>
    <s v="Нелли"/>
    <s v="Екатерина, Нелли"/>
    <m/>
    <m/>
    <s v="N"/>
    <s v="N"/>
    <m/>
    <x v="17"/>
    <m/>
    <s v="2026-04-28 11:15:19: Екатерина создал(-а) задачу;_x000a_2026-04-28 11:29:37: Екатерина добавил(-а) тег PRO;_x000a_2026-04-28 18:46:40: Екатерина переместил(-а) задачу в проекте ЛИЧНО сентябрь 24.09.2026 в колонку Дивизион Конференции / К работе;_x000a_2026-04-29 13:05:45: Екатерина изменил(-а) дату на 24.08.2026;_x000a_2026-04-29 13:05:46: Екатерина изменил(-а) дату на 24.08.2026 - 27.08.2026;_x000a_2026-04-29 13:38:40: Екатерина добавил(-а) тег РГП;_x000a_2026-04-29 13:38:42: Екатерина добавил(-а) тег страт-п-с-26-09;_x000a_2026-04-30 10:35:27: Екатерина назначил(-а) Нелли исполнителем"/>
    <x v="0"/>
    <x v="7"/>
    <x v="5"/>
  </r>
  <r>
    <n v="163"/>
    <s v="ЛИЧНО сентябрь 24.09.2026"/>
    <s v="Дивизион Конференции"/>
    <s v="К работе"/>
    <m/>
    <m/>
    <s v="Екатерина"/>
    <s v="5.28. Актуализировать цены на сайте"/>
    <s v="24.08.2026 03:00"/>
    <x v="10"/>
    <m/>
    <s v="Действие"/>
    <s v="Низкий"/>
    <s v="N"/>
    <m/>
    <s v="28.04.2026 11:14:59"/>
    <m/>
    <s v="Нелли"/>
    <s v="Екатерина, Нелли"/>
    <m/>
    <m/>
    <s v="N"/>
    <s v="N"/>
    <m/>
    <x v="17"/>
    <m/>
    <s v="2026-04-28 11:14:59: Екатерина создал(-а) задачу;_x000a_2026-04-28 11:29:55: Екатерина добавил(-а) тег PRO;_x000a_2026-04-28 18:46:43: Екатерина переместил(-а) задачу в проекте ЛИЧНО сентябрь 24.09.2026 в колонку Дивизион Конференции / К работе;_x000a_2026-04-29 13:11:44: Екатерина изменил(-а) дату на 24.08.2026;_x000a_2026-04-29 13:11:49: Екатерина изменил(-а) дату на 24.08.2026 - 27.08.2026;_x000a_2026-04-29 13:39:02: Екатерина добавил(-а) тег РГП;_x000a_2026-04-29 13:39:05: Екатерина добавил(-а) тег страт-п-с-26-09;_x000a_2026-04-30 10:35:31: Екатерина назначил(-а) Нелли исполнителем"/>
    <x v="0"/>
    <x v="7"/>
    <x v="5"/>
  </r>
  <r>
    <n v="162"/>
    <s v="ЛИЧНО сентябрь 24.09.2026"/>
    <s v="Дивизион Конференции"/>
    <s v="К работе"/>
    <m/>
    <m/>
    <s v="Екатерина"/>
    <s v="5.29. Сделать Отчет рабочей группе по отказам"/>
    <s v="31.08.2026 03:00"/>
    <x v="19"/>
    <m/>
    <s v="Действие"/>
    <s v="Низкий"/>
    <s v="N"/>
    <m/>
    <s v="28.04.2026 11:14:24"/>
    <m/>
    <s v="Нелли"/>
    <s v="Екатерина, Нелли"/>
    <m/>
    <m/>
    <s v="N"/>
    <s v="N"/>
    <m/>
    <x v="17"/>
    <m/>
    <s v="2026-04-28 11:14:25: Екатерина создал(-а) задачу;_x000a_2026-04-28 11:14:37: Екатерина изменил(-а) название на 5.29. Сделать Отчет рабочей группе по отказам;_x000a_2026-04-28 11:30:03: Екатерина добавил(-а) тег PRO;_x000a_2026-04-28 18:46:47: Екатерина переместил(-а) задачу в проекте ЛИЧНО сентябрь 24.09.2026 в колонку Дивизион Конференции / К работе;_x000a_2026-04-29 13:11:56: Екатерина изменил(-а) дату на 31.08.2026;_x000a_2026-04-29 13:11:59: Екатерина изменил(-а) дату на 31.08.2026 - 02.09.2026;_x000a_2026-04-29 13:12:02: Екатерина изменил(-а) дату на 31.08.2026 - 03.09.2026;_x000a_2026-04-29 13:39:14: Екатерина добавил(-а) тег РГП;_x000a_2026-04-29 13:39:19: Екатерина добавил(-а) тег страт-п-с-26-09;_x000a_2026-04-30 10:35:15: Екатерина назначил(-а) Нелли исполнителем"/>
    <x v="0"/>
    <x v="7"/>
    <x v="5"/>
  </r>
  <r>
    <n v="161"/>
    <s v="ЛИЧНО сентябрь 24.09.2026"/>
    <s v="Дивизион Конференции"/>
    <s v="К работе"/>
    <m/>
    <m/>
    <s v="Екатерина"/>
    <s v="5.30. Сделать отчет по конверсии на планерке (Сверка по KPI: 45-65% набора по заявкам)"/>
    <s v="31.08.2026 03:00"/>
    <x v="19"/>
    <m/>
    <s v="Действие"/>
    <s v="Низкий"/>
    <s v="N"/>
    <m/>
    <s v="28.04.2026 11:14:05"/>
    <m/>
    <s v="Нелли"/>
    <s v="Екатерина, Нелли"/>
    <m/>
    <m/>
    <s v="N"/>
    <s v="N"/>
    <m/>
    <x v="17"/>
    <m/>
    <s v="2026-04-28 11:14:06: Екатерина создал(-а) задачу;_x000a_2026-04-28 11:30:08: Екатерина добавил(-а) тег PRO;_x000a_2026-04-28 18:46:50: Екатерина переместил(-а) задачу в проекте ЛИЧНО сентябрь 24.09.2026 в колонку Дивизион Конференции / К работе;_x000a_2026-04-29 13:12:05: Екатерина изменил(-а) дату на 31.08.2026;_x000a_2026-04-29 13:12:07: Екатерина изменил(-а) дату на 31.08.2026 - 03.09.2026;_x000a_2026-04-29 13:39:33: Екатерина добавил(-а) тег РГП;_x000a_2026-04-29 13:39:35: Екатерина добавил(-а) тег страт-п-с-26-09;_x000a_2026-04-30 10:51:03: Екатерина назначил(-а) Нелли исполнителем"/>
    <x v="0"/>
    <x v="7"/>
    <x v="5"/>
  </r>
  <r>
    <n v="160"/>
    <s v="ЛИЧНО сентябрь 24.09.2026"/>
    <s v="Дивизион Конференции"/>
    <s v="К работе"/>
    <m/>
    <m/>
    <s v="Екатерина"/>
    <s v="5.31. Актуализировать цены на сайте"/>
    <s v="31.08.2026 03:00"/>
    <x v="19"/>
    <m/>
    <s v="Действие"/>
    <s v="Низкий"/>
    <s v="N"/>
    <m/>
    <s v="28.04.2026 11:13:45"/>
    <m/>
    <s v="Нелли"/>
    <s v="Екатерина, Нелли"/>
    <m/>
    <m/>
    <s v="N"/>
    <s v="N"/>
    <m/>
    <x v="17"/>
    <m/>
    <s v="2026-04-28 11:13:45: Екатерина создал(-а) задачу;_x000a_2026-04-28 11:30:16: Екатерина добавил(-а) тег PRO;_x000a_2026-04-28 18:46:53: Екатерина переместил(-а) задачу в проекте ЛИЧНО сентябрь 24.09.2026 в колонку Дивизион Конференции / К работе;_x000a_2026-04-29 13:12:07: Екатерина изменил(-а) дату на 31.08.2026;_x000a_2026-04-29 13:12:10: Екатерина изменил(-а) дату на 31.08.2026 - 03.09.2026;_x000a_2026-04-29 13:39:44: Екатерина добавил(-а) тег РГП;_x000a_2026-04-29 13:39:46: Екатерина добавил(-а) тег страт-п-с-26-09;_x000a_2026-04-30 10:51:09: Екатерина назначил(-а) Нелли исполнителем"/>
    <x v="0"/>
    <x v="7"/>
    <x v="5"/>
  </r>
  <r>
    <n v="159"/>
    <s v="ЛИЧНО сентябрь 24.09.2026"/>
    <s v="Дивизион Конференции"/>
    <s v="К работе"/>
    <m/>
    <m/>
    <s v="Екатерина"/>
    <s v="5.32. Сделать Отчет рабочей группе по отказам"/>
    <s v="07.09.2026 03:00"/>
    <x v="7"/>
    <m/>
    <s v="Действие"/>
    <s v="Низкий"/>
    <s v="N"/>
    <m/>
    <s v="28.04.2026 11:13:15"/>
    <m/>
    <s v="Нелли"/>
    <s v="Екатерина, Нелли"/>
    <m/>
    <m/>
    <s v="N"/>
    <s v="N"/>
    <m/>
    <x v="17"/>
    <m/>
    <s v="2026-04-28 11:13:15: Екатерина создал(-а) задачу;_x000a_2026-04-28 11:13:22: Екатерина изменил(-а) название на 5.32.Сделать Отчет рабочей группе по отказам;_x000a_2026-04-28 11:13:25: Екатерина изменил(-а) название на 5.32. Сделать Отчет рабочей группе по отказам;_x000a_2026-04-28 11:30:21: Екатерина добавил(-а) тег PRO;_x000a_2026-04-28 18:46:56: Екатерина переместил(-а) задачу в проекте ЛИЧНО сентябрь 24.09.2026 в колонку Дивизион Конференции / К работе;_x000a_2026-04-29 13:12:22: Екатерина изменил(-а) дату на 07.09.2026;_x000a_2026-04-29 13:12:30: Екатерина изменил(-а) дату на 07.09.2026 - 10.09.2026;_x000a_2026-04-29 13:39:54: Екатерина добавил(-а) тег РГП;_x000a_2026-04-29 13:39:55: Екатерина добавил(-а) тег страт-п-с-26-09;_x000a_2026-04-30 10:51:14: Екатерина назначил(-а) Нелли исполнителем"/>
    <x v="0"/>
    <x v="7"/>
    <x v="5"/>
  </r>
  <r>
    <n v="158"/>
    <s v="ЛИЧНО сентябрь 24.09.2026"/>
    <s v="Дивизион Конференции"/>
    <s v="К работе"/>
    <m/>
    <m/>
    <s v="Екатерина"/>
    <s v="5.33. Сделать отчет по конверсии на планерке (Сверка по KPI: 65-85% набора по заявкам)"/>
    <s v="07.09.2026 03:00"/>
    <x v="7"/>
    <m/>
    <s v="Действие"/>
    <s v="Низкий"/>
    <s v="N"/>
    <m/>
    <s v="28.04.2026 11:12:47"/>
    <m/>
    <s v="Нелли"/>
    <s v="Екатерина, Нелли"/>
    <m/>
    <m/>
    <s v="N"/>
    <s v="N"/>
    <m/>
    <x v="17"/>
    <m/>
    <s v="2026-04-28 11:12:47: Екатерина создал(-а) задачу;_x000a_2026-04-28 11:30:37: Екатерина добавил(-а) тег PRO;_x000a_2026-04-28 18:46:58: Екатерина переместил(-а) задачу в проекте ЛИЧНО сентябрь 24.09.2026 в колонку Дивизион Конференции / К работе;_x000a_2026-04-29 13:12:30: Екатерина изменил(-а) дату на 07.09.2026;_x000a_2026-04-29 13:12:30: Екатерина изменил(-а) дату на 07.09.2026 - 10.09.2026;_x000a_2026-04-29 13:40:04: Екатерина добавил(-а) тег РГП;_x000a_2026-04-29 13:40:06: Екатерина добавил(-а) тег страт-п-с-26-09;_x000a_2026-04-30 10:51:18: Екатерина назначил(-а) Нелли исполнителем"/>
    <x v="0"/>
    <x v="7"/>
    <x v="5"/>
  </r>
  <r>
    <n v="157"/>
    <s v="ЛИЧНО сентябрь 24.09.2026"/>
    <s v="Дивизион Конференции"/>
    <s v="К работе"/>
    <m/>
    <m/>
    <s v="Екатерина"/>
    <s v="5.34. Актуализировать цены на сайте"/>
    <s v="07.09.2026 03:00"/>
    <x v="7"/>
    <m/>
    <s v="Действие"/>
    <s v="Низкий"/>
    <s v="N"/>
    <m/>
    <s v="28.04.2026 11:12:30"/>
    <m/>
    <s v="Нелли"/>
    <s v="Екатерина, Нелли"/>
    <m/>
    <m/>
    <s v="N"/>
    <s v="N"/>
    <m/>
    <x v="17"/>
    <m/>
    <s v="2026-04-28 11:12:30: Екатерина создал(-а) задачу;_x000a_2026-04-28 11:30:43: Екатерина добавил(-а) тег PRO;_x000a_2026-04-28 18:47:01: Екатерина переместил(-а) задачу в проекте ЛИЧНО сентябрь 24.09.2026 в колонку Дивизион Конференции / К работе;_x000a_2026-04-29 13:12:30: Екатерина изменил(-а) дату на 07.09.2026;_x000a_2026-04-29 13:12:33: Екатерина изменил(-а) дату на 07.09.2026 - 10.09.2026;_x000a_2026-04-29 13:40:32: Екатерина добавил(-а) тег РГП;_x000a_2026-04-29 13:40:39: Екатерина добавил(-а) тег страт-п-с-26-09;_x000a_2026-04-30 10:51:20: Екатерина назначил(-а) Нелли исполнителем"/>
    <x v="0"/>
    <x v="7"/>
    <x v="5"/>
  </r>
  <r>
    <n v="156"/>
    <s v="ЛИЧНО сентябрь 24.09.2026"/>
    <s v="Дивизион Конференции"/>
    <s v="К работе"/>
    <m/>
    <m/>
    <s v="Екатерина"/>
    <s v="5.35. Сделать Отчет рабочей группе по отказам"/>
    <s v="14.09.2026 03:00"/>
    <x v="6"/>
    <m/>
    <s v="Действие"/>
    <s v="Низкий"/>
    <s v="N"/>
    <m/>
    <s v="28.04.2026 11:12:09"/>
    <m/>
    <s v="Нелли"/>
    <s v="Екатерина, Нелли"/>
    <m/>
    <m/>
    <s v="N"/>
    <s v="N"/>
    <m/>
    <x v="17"/>
    <m/>
    <s v="2026-04-28 11:12:10: Екатерина создал(-а) задачу;_x000a_2026-04-28 11:30:51: Екатерина добавил(-а) тег PRO;_x000a_2026-04-28 18:47:04: Екатерина переместил(-а) задачу в проекте ЛИЧНО сентябрь 24.09.2026 в колонку Дивизион Конференции / К работе;_x000a_2026-04-29 11:18:52: Екатерина изменил(-а) дату на 14.09.2026 - 14.09.2026;_x000a_2026-04-29 11:18:53: Екатерина изменил(-а) дату на 14.09.2026 - 17.09.2026;_x000a_2026-04-29 13:40:45: Екатерина добавил(-а) тег РГП;_x000a_2026-04-29 13:40:51: Екатерина добавил(-а) тег страт-п-с-26-09;_x000a_2026-04-30 10:51:23: Екатерина назначил(-а) Нелли исполнителем"/>
    <x v="0"/>
    <x v="7"/>
    <x v="5"/>
  </r>
  <r>
    <n v="155"/>
    <s v="ЛИЧНО сентябрь 24.09.2026"/>
    <s v="Дивизион Конференции"/>
    <s v="К работе"/>
    <m/>
    <m/>
    <s v="Екатерина"/>
    <s v="5.36. Сделать отчет по конверсии на планерке (Сверка по KPI: 85-100% набора по заявкам)"/>
    <s v="14.09.2026 03:00"/>
    <x v="6"/>
    <m/>
    <s v="Действие"/>
    <s v="Низкий"/>
    <s v="N"/>
    <m/>
    <s v="28.04.2026 11:11:44"/>
    <m/>
    <s v="Нелли"/>
    <s v="Екатерина, Нелли"/>
    <m/>
    <m/>
    <s v="N"/>
    <s v="N"/>
    <m/>
    <x v="17"/>
    <m/>
    <s v="2026-04-28 11:11:44: Екатерина создал(-а) задачу;_x000a_2026-04-28 11:30:56: Екатерина добавил(-а) тег PRO;_x000a_2026-04-28 18:45:11: Екатерина переместил(-а) задачу в проекте ЛИЧНО сентябрь 24.09.2026 в колонку Дивизион Конференции / К работе;_x000a_2026-04-29 13:13:05: Екатерина изменил(-а) дату на 14.09.2026;_x000a_2026-04-29 13:13:07: Екатерина изменил(-а) дату на 14.09.2026 - 17.09.2026;_x000a_2026-04-29 13:40:56: Екатерина добавил(-а) тег РГП;_x000a_2026-04-29 13:41:01: Екатерина добавил(-а) тег страт-п-с-26-09;_x000a_2026-04-30 10:51:25: Екатерина назначил(-а) Нелли исполнителем"/>
    <x v="0"/>
    <x v="7"/>
    <x v="5"/>
  </r>
  <r>
    <n v="154"/>
    <s v="ЛИЧНО сентябрь 24.09.2026"/>
    <s v="Дивизион Конференции"/>
    <s v="К работе"/>
    <m/>
    <m/>
    <s v="Екатерина"/>
    <s v="5.37. Актуализировать цены на сайте"/>
    <s v="14.09.2026 03:00"/>
    <x v="6"/>
    <m/>
    <s v="Действие"/>
    <s v="Низкий"/>
    <s v="N"/>
    <m/>
    <s v="28.04.2026 11:11:23"/>
    <m/>
    <s v="Нелли"/>
    <s v="Екатерина, Нелли"/>
    <m/>
    <m/>
    <s v="N"/>
    <s v="N"/>
    <m/>
    <x v="17"/>
    <m/>
    <s v="2026-04-28 11:11:23: Екатерина создал(-а) задачу;_x000a_2026-04-28 11:31:12: Екатерина добавил(-а) тег PRO;_x000a_2026-04-28 18:45:14: Екатерина переместил(-а) задачу в проекте ЛИЧНО сентябрь 24.09.2026 в колонку Дивизион Конференции / К работе;_x000a_2026-04-29 13:13:08: Екатерина изменил(-а) дату на 14.09.2026;_x000a_2026-04-29 13:13:15: Екатерина изменил(-а) дату на 14.09.2026 - 17.09.2026;_x000a_2026-04-29 13:41:06: Екатерина добавил(-а) тег РГП;_x000a_2026-04-29 13:41:10: Екатерина добавил(-а) тег страт-п-с-26-09;_x000a_2026-04-30 10:51:28: Екатерина назначил(-а) Нелли исполнителем"/>
    <x v="0"/>
    <x v="7"/>
    <x v="5"/>
  </r>
  <r>
    <n v="153"/>
    <s v="ЛИЧНО сентябрь 24.09.2026"/>
    <s v="Дивизион Конференции"/>
    <s v="К работе"/>
    <m/>
    <m/>
    <s v="Екатерина"/>
    <s v="5.38. Сделать отчет по конверсии по каналам продаж"/>
    <s v="28.09.2026 03:00"/>
    <x v="0"/>
    <m/>
    <s v="Действие"/>
    <s v="Низкий"/>
    <s v="N"/>
    <m/>
    <s v="28.04.2026 11:11:07"/>
    <m/>
    <s v="Нелли"/>
    <s v="Екатерина, Нелли"/>
    <m/>
    <m/>
    <s v="N"/>
    <s v="N"/>
    <m/>
    <x v="18"/>
    <m/>
    <s v="2026-04-28 11:11:07: Екатерина создал(-а) задачу;_x000a_2026-04-28 11:23:12: Екатерина добавил(-а) тег POST;_x000a_2026-04-28 18:45:18: Екатерина переместил(-а) задачу в проекте ЛИЧНО сентябрь 24.09.2026 в колонку Дивизион Конференции / К работе;_x000a_2026-04-29 13:13:34: Екатерина изменил(-а) дату на 28.09.2026;_x000a_2026-04-29 13:13:35: Екатерина изменил(-а) дату на 28.09.2026 - 01.10.2026;_x000a_2026-04-29 13:33:04: Екатерина добавил(-а) тег РГП;_x000a_2026-04-29 13:33:04: Екатерина добавил(-а) тег страт-п-с-26-09;_x000a_2026-04-30 10:51:31: Екатерина назначил(-а) Нелли исполнителем"/>
    <x v="0"/>
    <x v="7"/>
    <x v="5"/>
  </r>
  <r>
    <n v="152"/>
    <s v="ЛИЧНО сентябрь 24.09.2026"/>
    <s v="Дивизион Конференции"/>
    <s v="К работе"/>
    <m/>
    <m/>
    <s v="Екатерина"/>
    <s v="5.39. Передать мотивацию в финотдел для расчета премий"/>
    <s v="28.09.2026 03:00"/>
    <x v="0"/>
    <m/>
    <s v="Действие"/>
    <s v="Низкий"/>
    <s v="N"/>
    <m/>
    <s v="28.04.2026 11:10:50"/>
    <m/>
    <s v="Нелли"/>
    <s v="Екатерина, Нелли"/>
    <m/>
    <m/>
    <s v="N"/>
    <s v="N"/>
    <m/>
    <x v="18"/>
    <m/>
    <s v="2026-04-28 11:10:50: Екатерина создал(-а) задачу;_x000a_2026-04-28 11:23:18: Екатерина добавил(-а) тег POST;_x000a_2026-04-28 18:47:16: Екатерина переместил(-а) задачу в проекте ЛИЧНО сентябрь 24.09.2026 в колонку Дивизион Конференции / К работе;_x000a_2026-04-29 13:13:37: Екатерина изменил(-а) дату на 28.09.2026;_x000a_2026-04-29 13:13:39: Екатерина изменил(-а) дату на 28.09.2026 - 01.10.2026;_x000a_2026-04-29 13:33:09: Екатерина добавил(-а) тег РГП;_x000a_2026-04-29 13:33:11: Екатерина добавил(-а) тег страт-п-с-26-09;_x000a_2026-04-30 10:51:37: Екатерина назначил(-а) Нелли исполнителем"/>
    <x v="0"/>
    <x v="7"/>
    <x v="5"/>
  </r>
  <r>
    <n v="151"/>
    <s v="ЛИЧНО сентябрь 24.09.2026"/>
    <s v="Дивизион Конференции"/>
    <s v="К работе"/>
    <m/>
    <m/>
    <s v="Екатерина"/>
    <s v="5.40. Закрыть сделки в Битриксе"/>
    <s v="28.09.2026 03:00"/>
    <x v="0"/>
    <m/>
    <s v="Действие"/>
    <s v="Низкий"/>
    <s v="N"/>
    <m/>
    <s v="28.04.2026 11:10:29"/>
    <m/>
    <s v="Нелли"/>
    <s v="Екатерина, Нелли"/>
    <m/>
    <m/>
    <s v="N"/>
    <s v="N"/>
    <m/>
    <x v="18"/>
    <m/>
    <s v="2026-04-28 11:10:30: Екатерина создал(-а) задачу;_x000a_2026-04-28 11:23:24: Екатерина добавил(-а) тег POST;_x000a_2026-04-28 18:47:19: Екатерина переместил(-а) задачу в проекте ЛИЧНО сентябрь 24.09.2026 в колонку Дивизион Конференции / К работе;_x000a_2026-04-29 13:13:40: Екатерина изменил(-а) дату на 28.09.2026;_x000a_2026-04-29 13:13:45: Екатерина изменил(-а) дату на 28.09.2026 - 01.10.2026;_x000a_2026-04-29 13:32:50: Екатерина добавил(-а) тег РГП;_x000a_2026-04-29 13:32:55: Екатерина добавил(-а) тег страт-п-с-26-09;_x000a_2026-04-30 10:34:42: Екатерина назначил(-а) Нелли исполнителем"/>
    <x v="0"/>
    <x v="7"/>
    <x v="5"/>
  </r>
  <r>
    <n v="150"/>
    <s v="ЛИЧНО сентябрь 24.09.2026"/>
    <s v="Дивизион Конференции"/>
    <s v="К работе"/>
    <m/>
    <m/>
    <s v="Екатерина"/>
    <s v="5.41. Актуализировать Мастердату"/>
    <s v="28.09.2026 03:00"/>
    <x v="0"/>
    <m/>
    <s v="Действие"/>
    <s v="Низкий"/>
    <s v="N"/>
    <m/>
    <s v="28.04.2026 11:10:03"/>
    <m/>
    <s v="Нелли"/>
    <s v="Екатерина, Нелли"/>
    <m/>
    <m/>
    <s v="N"/>
    <s v="N"/>
    <m/>
    <x v="18"/>
    <m/>
    <s v="2026-04-28 11:10:03: Екатерина создал(-а) задачу;_x000a_2026-04-28 11:23:58: Екатерина добавил(-а) тег POST;_x000a_2026-04-28 18:47:21: Екатерина переместил(-а) задачу в проекте ЛИЧНО сентябрь 24.09.2026 в колонку Дивизион Конференции / К работе;_x000a_2026-04-29 13:13:51: Екатерина изменил(-а) дату на 28.09.2026;_x000a_2026-04-29 13:13:53: Екатерина изменил(-а) дату на 28.09.2026 - 01.10.2026;_x000a_2026-04-29 13:32:42: Екатерина добавил(-а) тег РГП;_x000a_2026-04-29 13:32:44: Екатерина добавил(-а) тег страт-п-с-26-09;_x000a_2026-04-30 10:34:47: Екатерина назначил(-а) Нелли исполнителем"/>
    <x v="0"/>
    <x v="7"/>
    <x v="5"/>
  </r>
  <r>
    <n v="149"/>
    <m/>
    <m/>
    <m/>
    <m/>
    <m/>
    <s v="Екатерина"/>
    <s v="2.6.2. Провести 40% телефонные интервью  с целью выявления актуальной проблематики. Оптимальное количество завершенных интервью - 40. Протяженность интервью - не менее 10-15 минут."/>
    <m/>
    <x v="2"/>
    <m/>
    <s v="Действие"/>
    <s v="Низкий"/>
    <s v="N"/>
    <m/>
    <s v="27.04.2026 17:58:52"/>
    <m/>
    <m/>
    <s v="Екатерина"/>
    <m/>
    <m/>
    <s v="N"/>
    <s v="N"/>
    <m/>
    <x v="2"/>
    <m/>
    <s v="2026-04-27 17:58:53: Екатерина создал(-а) задачу;_x000a_2026-04-28 18:58:50: Екатерина убрал(-а) родительскую задачу"/>
    <x v="0"/>
    <x v="2"/>
    <x v="2"/>
  </r>
  <r>
    <n v="148"/>
    <m/>
    <m/>
    <m/>
    <s v="2.06. Провести 40% глубинных интервью"/>
    <s v="2.06. Провести 40% глубинных интервью"/>
    <s v="Екатерина"/>
    <s v="2.6.1. Запросить базу данных КВК Империя у отдела лидогенерации для проведения телефонного интервью."/>
    <m/>
    <x v="21"/>
    <m/>
    <s v="Действие"/>
    <s v="Низкий"/>
    <s v="N"/>
    <m/>
    <s v="27.04.2026 17:58:25"/>
    <m/>
    <m/>
    <s v="Екатерина"/>
    <m/>
    <m/>
    <s v="N"/>
    <s v="N"/>
    <m/>
    <x v="2"/>
    <m/>
    <s v="2026-04-27 17:58:26: Екатерина создал(-а) задачу;_x000a_2026-04-28 19:47:01: Екатерина изменил(-а) дату на 01.06.2026"/>
    <x v="0"/>
    <x v="2"/>
    <x v="2"/>
  </r>
  <r>
    <n v="147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4. С руководителем отдела лидогенерации согласовать ответственного за разработку тизер-сайта и зафиксировать сроки разработки"/>
    <m/>
    <x v="2"/>
    <m/>
    <s v="Действие"/>
    <s v="Низкий"/>
    <s v="N"/>
    <m/>
    <s v="27.04.2026 17:55:54"/>
    <m/>
    <m/>
    <s v="Екатерина"/>
    <m/>
    <m/>
    <s v="N"/>
    <s v="N"/>
    <m/>
    <x v="9"/>
    <m/>
    <s v="2026-04-27 17:55:54: Екатерина создал(-а) задачу;_x000a_2026-04-28 19:25:08: Екатерина добавил(-а) тег PRE;_x000a_2026-04-28 19:28:59: Екатерина добавил(-а) тег Продюсер;_x000a_2026-04-28 19:28:59: Екатерина добавил(-а) тег страт-п-с-26-09;_x000a_2026-04-28 19:38:10: Екатерина добавил(-а) задачу в проект ЛИЧНО сентябрь 24.09.2026"/>
    <x v="0"/>
    <x v="3"/>
    <x v="3"/>
  </r>
  <r>
    <n v="146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3. Согласовать колонтитул, сделанный дизайнером"/>
    <m/>
    <x v="2"/>
    <m/>
    <s v="Действие"/>
    <s v="Низкий"/>
    <s v="N"/>
    <m/>
    <s v="27.04.2026 17:54:50"/>
    <m/>
    <m/>
    <s v="Екатерина"/>
    <m/>
    <m/>
    <s v="N"/>
    <s v="N"/>
    <m/>
    <x v="9"/>
    <m/>
    <s v="2026-04-27 17:54:50: Екатерина создал(-а) задачу;_x000a_2026-04-27 17:55:13: Екатерина изменил(-а) название на 2.2.3. Согласовать колонтитул,;_x000a_2026-04-27 17:55:14: Екатерина изменил(-а) название на 2.2.3. Согласовать колонтитул, л сделанный дизайнером;_x000a_2026-04-27 17:55:17: Екатерина изменил(-а) название на 2.2.3. Согласовать колонтитул, сделанный дизайнером;_x000a_2026-04-28 19:25:05: Екатерина добавил(-а) тег PRE;_x000a_2026-04-28 19:28:46: Екатерина добавил(-а) тег Продюсер;_x000a_2026-04-28 19:28:47: Екатерина добавил(-а) тег страт-п-с-26-09;_x000a_2026-04-28 19:38:04: Екатерина добавил(-а) задачу в проект ЛИЧНО сентябрь 24.09.2026"/>
    <x v="0"/>
    <x v="3"/>
    <x v="3"/>
  </r>
  <r>
    <n v="145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2.  Сделать ТЗ на колонтитул мероприятия в формате Word (по шаблону от дизайнера) и отправить дизайнеру"/>
    <m/>
    <x v="2"/>
    <m/>
    <s v="Действие"/>
    <s v="Низкий"/>
    <s v="N"/>
    <m/>
    <s v="27.04.2026 17:54:47"/>
    <m/>
    <m/>
    <s v="Екатерина"/>
    <m/>
    <m/>
    <s v="N"/>
    <s v="N"/>
    <m/>
    <x v="9"/>
    <m/>
    <s v="2026-04-27 17:54:47: Екатерина создал(-а) задачу;_x000a_2026-04-28 19:25:02: Екатерина добавил(-а) тег PRE;_x000a_2026-04-28 19:26:25: Екатерина добавил(-а) тег Продюсер;_x000a_2026-04-28 19:26:28: Екатерина добавил(-а) тег страт-п-с-26-09;_x000a_2026-04-28 19:37:59: Екатерина добавил(-а) задачу в проект ЛИЧНО сентябрь 24.09.2026"/>
    <x v="0"/>
    <x v="3"/>
    <x v="3"/>
  </r>
  <r>
    <n v="144"/>
    <s v="ЛИЧНО сентябрь 24.09.2026"/>
    <m/>
    <m/>
    <s v="2.02. Отдать лидгенам ТЗ на Тизер-сайт и согласовать колонтитул мероприятия для печатных материалов"/>
    <s v="2.02. Отдать лидгенам ТЗ на Тизер-сайт и согласовать колонтитул мероприятия для печатных материалов"/>
    <s v="Екатерина"/>
    <s v="2.2.1. Согласно ТЗ создать и заполнить Word-документ &quot;Тизер-сайт&quot; по форме, утвержденной в методичке Продюсинга."/>
    <m/>
    <x v="2"/>
    <m/>
    <s v="Действие"/>
    <s v="Низкий"/>
    <s v="N"/>
    <m/>
    <s v="27.04.2026 17:54:40"/>
    <m/>
    <m/>
    <s v="Екатерина"/>
    <m/>
    <m/>
    <s v="N"/>
    <s v="N"/>
    <m/>
    <x v="9"/>
    <m/>
    <s v="2026-04-27 17:54:40: Екатерина создал(-а) задачу;_x000a_2026-04-28 19:25:00: Екатерина добавил(-а) тег PRE;_x000a_2026-04-28 19:26:16: Екатерина добавил(-а) тег Продюсер;_x000a_2026-04-28 19:26:19: Екатерина добавил(-а) тег страт-п-с-26-09;_x000a_2026-04-28 19:37:56: Екатерина добавил(-а) задачу в проект ЛИЧНО сентябрь 24.09.2026"/>
    <x v="0"/>
    <x v="3"/>
    <x v="3"/>
  </r>
  <r>
    <n v="133"/>
    <s v="ЛИЧНО сентябрь 24.09.2026"/>
    <s v="Дивизион Конференции"/>
    <s v="К работе"/>
    <m/>
    <m/>
    <s v="Екатерина"/>
    <s v="2.02. Отдать лидгенам ТЗ на Тизер-сайт и согласовать колонтитул мероприятия для печатных материалов"/>
    <s v="18.05.2026 03:00"/>
    <x v="20"/>
    <m/>
    <s v="Действие"/>
    <s v="Низкий"/>
    <s v="N"/>
    <m/>
    <s v="27.04.2026 16:59:06"/>
    <m/>
    <m/>
    <s v="Екатерина"/>
    <m/>
    <m/>
    <s v="N"/>
    <s v="N"/>
    <m/>
    <x v="9"/>
    <m/>
    <s v="2026-04-27 16:59:06: Екатерина создал(-а) задачу;_x000a_2026-04-27 16:59:30: Екатерина изменил(-а) название на 2.2. Отдать ТЗ лидгенам на Тизер-сайт и согласован колонтитул мероприятия для печатных материалов;_x000a_2026-04-27 16:59:39: Екатерина изменил(-а) название на 2.2. Отдать лидгенам ТЗ лидгенам на Тизер-сайт и согласован колонтитул мероприятия для печатных материалов;_x000a_2026-04-27 16:59:44: Екатерина изменил(-а) название на 2.2. Отдать лидгенам ТЗ на Тизер-сайт и согласован колонтитул мероприятия для печатных материалов;_x000a_2026-04-27 16:59:48: Екатерина изменил(-а) название на 2.2. Отдать лидгенам ТЗ на Тизер-сайт и согласовать колонтитул мероприятия для печатных материалов;_x000a_2026-04-27 17:00:41: Екатерина изменил(-а) название на 2.2.Отдать лидгенам ТЗ на Тизер-сайт и согласовать колонтитул мероприятия для печатных материалов;_x000a_2026-04-27 17:00:42: Екатерина изменил(-а) название на 2.2Отдать лидгенам ТЗ на Тизер-сайт и согласовать колонтитул мероприятия для печатных материалов;_x000a_2026-04-27 17:00:43: Екатерина изменил(-а) название на 2.2.Отдать лидгенам ТЗ на Тизер-сайт и согласовать колонтитул мероприятия для печатных материалов;_x000a_2026-04-27 17:00:43: Екатерина изменил(-а) название на 2.2. Отдать лидгенам ТЗ на Тизер-сайт и согласовать колонтитул мероприятия для печатных материалов;_x000a_2026-04-27 17:01:38: Екатерина изменил(-а) дату на 22.05.2026;_x000a_2026-04-27 17:02:47: Екатерина добавил(-а) тег PRE;_x000a_2026-04-27 17:54:40: Екатерина добавил(-а) подзадачу #144 2.2.1. Согласно ТЗ создать и заполнить Word-документ &quot;Тизер-сайт&quot; по форме, утвержденной в методичке Продюсинга.;_x000a_2026-04-27 17:54:47: Екатерина добавил(-а) подзадачу #145 2.2.2. Сделать ТЗ на колонтитул мероприятия в формате Word (по шаблону от дизайнера) и отправить дизайнеру;_x000a_2026-04-27 17:54:50: Екатерина добавил(-а) подзадачу #146 2.2.3. Согласовать колонтитул, сделанный дизайнером;_x000a_2026-04-27 17:55:54: Екатерина добавил(-а) подзадачу #147 2.2.4. С руководителем отдела лидогенерации согласовать ответственного за разработку тизер-сайта и зафиксировать сроки разработки;_x000a_2026-04-28 18:47:26: Екатерина переместил(-а) задачу в проекте ЛИЧНО сентябрь 24.09.2026 в колонку Дивизион Конференции / К работе;_x000a_2026-04-28 19:04:20: Екатерина изменил(-а) название на 2.02. Отдать лидгенам ТЗ на Тизер-сайт и согласовать колонтитул мероприятия для печатных материалов;_x000a_2026-04-28 19:25:32: Екатерина добавил(-а) тег Продюсер;_x000a_2026-04-28 19:25:58: Екатерина добавил(-а) тег страт-п-с-26-09;_x000a_2026-04-28 19:37:40: Екатерина изменил(-а) дату на 18.05.2026;_x000a_2026-04-28 19:37:43: Екатерина изменил(-а) дату на 18.05.2026 - 18.05.2026;_x000a_2026-04-28 19:37:44: Екатерина изменил(-а) дату на 18.05.2026 - 21.05.2026"/>
    <x v="0"/>
    <x v="3"/>
    <x v="3"/>
  </r>
  <r>
    <n v="128"/>
    <s v="ЛИЧНО сентябрь 24.09.2026"/>
    <s v="Дивизион Конференции"/>
    <s v="К работе"/>
    <m/>
    <m/>
    <s v="Екатерина"/>
    <s v="2.07. Сдать и утвердить с лидгеном Тизер сайт и проконтрол. его  публикацию в календаре на соотв. сайте компании"/>
    <s v="01.06.2026 03:00"/>
    <x v="1"/>
    <m/>
    <s v="Действие"/>
    <s v="Низкий"/>
    <s v="N"/>
    <m/>
    <s v="27.04.2026 16:58:00"/>
    <m/>
    <m/>
    <s v="Екатерина"/>
    <m/>
    <m/>
    <s v="N"/>
    <s v="N"/>
    <m/>
    <x v="9"/>
    <m/>
    <s v="2026-04-27 16:58:01: Екатерина создал(-а) задачу;_x000a_2026-04-27 16:58:05: Екатерина изменил(-а) название на 2.7. Сдать и утвердить с лидгеном Тизер сайт и проконтрол. его публикацию в календаре на соотв. сайте компании;_x000a_2026-04-27 17:04:21: Екатерина изменил(-а) дату на 05.06.2026;_x000a_2026-04-27 17:04:25: Екатерина добавил(-а) тег PRE;_x000a_2026-04-28 18:47:56: Екатерина переместил(-а) задачу в проекте ЛИЧНО сентябрь 24.09.2026 в колонку Дивизион Конференции / К работе;_x000a_2026-04-28 18:57:17: Екатерина изменил(-а) название на 2.07. Сдать и утвердить с лидгеном Тизер сайт и проконтрол. его публикацию в календаре на соотв. сайте компании;_x000a_2026-04-28 19:44:27: Екатерина добавил(-а) тег Продюсер;_x000a_2026-04-28 19:44:27: Екатерина убрал(-а) тег Продюсер;_x000a_2026-04-28 19:44:27: Екатерина добавил(-а) тег страт-п-с-26-09;_x000a_2026-04-28 19:44:32: Екатерина добавил(-а) тег Продюсер;_x000a_2026-04-28 19:47:25: Екатерина изменил(-а) дату на 01.06.2026;_x000a_2026-04-28 19:47:28: Екатерина изменил(-а) дату на 01.06.2026 - 01.06.2026;_x000a_2026-04-28 19:47:28: Екатерина изменил(-а) дату на 01.06.2026 - 04.06.2026;_x000a_2026-04-30 14:34:29: Екатерина убрал(-а) тег страт-п-с-26-09;_x000a_2026-04-30 14:34:35: Екатерина добавил(-а) тег страт-п-с-26-09"/>
    <x v="0"/>
    <x v="3"/>
    <x v="3"/>
  </r>
  <r>
    <n v="127"/>
    <s v="ЛИЧНО сентябрь 24.09.2026"/>
    <s v="Дивизион Конференции"/>
    <s v="К работе"/>
    <m/>
    <m/>
    <s v="Екатерина"/>
    <s v="2.08. Провести 100% глубинных интервью"/>
    <s v="08.06.2026 03:00"/>
    <x v="17"/>
    <m/>
    <s v="Действие"/>
    <s v="Низкий"/>
    <s v="N"/>
    <m/>
    <s v="27.04.2026 16:57:38"/>
    <m/>
    <m/>
    <s v="Екатерина"/>
    <m/>
    <m/>
    <s v="N"/>
    <s v="N"/>
    <m/>
    <x v="9"/>
    <m/>
    <s v="2026-04-27 16:57:38: Екатерина создал(-а) задачу;_x000a_2026-04-27 17:07:44: Екатерина изменил(-а) дату на 12.06.2026;_x000a_2026-04-27 17:07:47: Екатерина добавил(-а) тег PRE;_x000a_2026-04-28 18:48:02: Екатерина переместил(-а) задачу в проекте ЛИЧНО сентябрь 24.09.2026 в колонку Дивизион Конференции / К работе;_x000a_2026-04-28 18:57:21: Екатерина изменил(-а) название на 2.08. Провести 100% глубинных интервью;_x000a_2026-04-28 19:44:41: Екатерина добавил(-а) тег страт-п-с-26-09;_x000a_2026-04-28 19:44:42: Екатерина добавил(-а) тег Продюсер;_x000a_2026-04-28 19:44:43: Екатерина добавил(-а) тег ШП;_x000a_2026-04-28 19:44:45: Екатерина убрал(-а) тег ШП;_x000a_2026-04-28 19:47:40: Екатерина изменил(-а) дату на 08.06.2026 - 12.06.2026;_x000a_2026-04-28 19:47:40: Екатерина изменил(-а) дату на 11.06.2026 - 12.06.2026;_x000a_2026-04-28 19:47:43: Екатерина изменил(-а) дату на 08.06.2026 - 12.06.2026;_x000a_2026-04-28 19:47:44: Екатерина изменил(-а) дату на 11.06.2026 - 12.06.2026;_x000a_2026-04-28 19:47:48: Екатерина изменил(-а) дату на 11.06.2026 - 11.06.2026;_x000a_2026-04-28 19:47:50: Екатерина изменил(-а) дату на 08.06.2026 - 11.06.2026;_x000a_2026-04-30 14:34:44: Екатерина убрал(-а) тег страт-п-с-26-09;_x000a_2026-04-30 14:35:20: Екатерина добавил(-а) тег страт-п-с-26-09"/>
    <x v="0"/>
    <x v="3"/>
    <x v="3"/>
  </r>
  <r>
    <n v="124"/>
    <s v="ЛИЧНО сентябрь 24.09.2026"/>
    <s v="Дивизион Конференции"/>
    <s v="К работе"/>
    <m/>
    <m/>
    <s v="Екатерина"/>
    <s v="2.11 Сдать Концепцию и Программу"/>
    <s v="15.06.2026 03:00"/>
    <x v="16"/>
    <m/>
    <s v="Действие"/>
    <s v="Низкий"/>
    <s v="N"/>
    <m/>
    <s v="27.04.2026 16:52:37"/>
    <m/>
    <m/>
    <s v="Екатерина"/>
    <m/>
    <m/>
    <s v="N"/>
    <s v="N"/>
    <m/>
    <x v="19"/>
    <m/>
    <s v="2026-04-27 16:52:39: Екатерина создал(-а) задачу;_x000a_2026-04-27 17:08:26: Екатерина изменил(-а) дату на 19.06.2026;_x000a_2026-04-27 17:08:31: Екатерина добавил(-а) тег PRE;_x000a_2026-04-28 18:48:11: Екатерина переместил(-а) задачу в проекте ЛИЧНО сентябрь 24.09.2026 в колонку Дивизион Конференции / К работе;_x000a_2026-04-29 09:52:01: Екатерина добавил(-а) тег страт-п-с-26-09;_x000a_2026-04-29 09:52:13: Екатерина добавил(-а) тег Продюсер;_x000a_2026-04-29 10:19:53: Екатерина изменил(-а) дату на 15.06.2026 - 19.06.2026;_x000a_2026-04-29 10:19:55: Екатерина изменил(-а) дату на 15.06.2026 - 18.06.2026;_x000a_2026-04-30 14:35:59: Екатерина убрал(-а) тег страт-п-с-26-09;_x000a_2026-04-30 14:36:03: Екатерина добавил(-а) тег старт вехи Pro"/>
    <x v="0"/>
    <x v="3"/>
    <x v="3"/>
  </r>
  <r>
    <n v="123"/>
    <s v="ЛИЧНО сентябрь 24.09.2026"/>
    <s v="Дивизион Конференции"/>
    <s v="К работе"/>
    <m/>
    <m/>
    <s v="Екатерина"/>
    <s v="2.12. Проверить публикацию  на сайте Программы с надписью &quot;планируемые спикеры&quot;"/>
    <s v="15.06.2026 03:00"/>
    <x v="16"/>
    <m/>
    <s v="Действие"/>
    <s v="Низкий"/>
    <s v="N"/>
    <m/>
    <s v="27.04.2026 16:52:28"/>
    <m/>
    <m/>
    <s v="Екатерина"/>
    <m/>
    <m/>
    <s v="N"/>
    <s v="N"/>
    <m/>
    <x v="9"/>
    <m/>
    <s v="2026-04-27 16:52:29: Екатерина создал(-а) задачу;_x000a_2026-04-27 17:08:40: Екатерина изменил(-а) дату на 12.06.2026;_x000a_2026-04-27 17:08:44: Екатерина добавил(-а) тег PRE;_x000a_2026-04-27 17:09:33: Екатерина изменил(-а) дату на 19.06.2026;_x000a_2026-04-28 16:14:54: Екатерина очистил(-а) название;_x000a_2026-04-28 16:14:55: Екатерина изменил(-а) название на 2.12. Проверить публикацию на сайте Программы с надписью &quot;планируемые спикеры&quot;;_x000a_2026-04-28 18:48:14: Екатерина переместил(-а) задачу в проекте ЛИЧНО сентябрь 24.09.2026 в колонку Дивизион Конференции / К работе;_x000a_2026-04-29 09:52:26: Екатерина добавил(-а) тег страт-п-с-26-09;_x000a_2026-04-29 09:52:30: Екатерина добавил(-а) тег Продюсер;_x000a_2026-04-29 10:20:04: Екатерина изменил(-а) дату на 15.06.2026 - 19.06.2026;_x000a_2026-04-29 10:20:04: Екатерина изменил(-а) дату на 15.06.2026 - 18.06.2026;_x000a_2026-04-30 14:36:08: Екатерина убрал(-а) тег страт-п-с-26-09;_x000a_2026-04-30 14:36:13: Екатерина добавил(-а) тег страт-п-с-26-09"/>
    <x v="0"/>
    <x v="3"/>
    <x v="3"/>
  </r>
  <r>
    <n v="122"/>
    <s v="ЛИЧНО сентябрь 24.09.2026"/>
    <s v="Дивизион Конференции"/>
    <s v="К работе"/>
    <m/>
    <m/>
    <s v="Екатерина"/>
    <s v="2.13. Провести Обучение по Программе мероприятия"/>
    <s v="22.06.2026 03:00"/>
    <x v="15"/>
    <m/>
    <s v="Действие"/>
    <s v="Низкий"/>
    <s v="N"/>
    <m/>
    <s v="27.04.2026 16:51:11"/>
    <m/>
    <m/>
    <s v="Екатерина"/>
    <m/>
    <m/>
    <s v="N"/>
    <s v="N"/>
    <m/>
    <x v="9"/>
    <m/>
    <s v="2026-04-27 16:51:11: Екатерина создал(-а) задачу;_x000a_2026-04-27 16:51:17: Екатерина изменил(-а) название на 2.13. Провести Обучение по Программе мероприятия;_x000a_2026-04-27 17:27:31: Екатерина изменил(-а) дату на 26.06.2026;_x000a_2026-04-27 17:27:35: Екатерина добавил(-а) тег PRE;_x000a_2026-04-28 18:48:30: Екатерина переместил(-а) задачу в проекте ЛИЧНО сентябрь 24.09.2026 в колонку Дивизион Конференции / К работе;_x000a_2026-04-29 09:53:15: Екатерина добавил(-а) тег страт-п-с-26-09;_x000a_2026-04-29 09:53:15: Екатерина добавил(-а) тег Продюсер;_x000a_2026-04-29 10:20:35: Екатерина изменил(-а) дату на 22.06.2026 - 26.06.2026;_x000a_2026-04-29 10:20:36: Екатерина изменил(-а) дату на 22.06.2026 - 25.06.2026;_x000a_2026-04-30 14:36:21: Екатерина убрал(-а) тег страт-п-с-26-09;_x000a_2026-04-30 14:36:24: Екатерина добавил(-а) тег страт-п-с-26-09"/>
    <x v="0"/>
    <x v="3"/>
    <x v="3"/>
  </r>
  <r>
    <n v="121"/>
    <s v="ЛИЧНО сентябрь 24.09.2026"/>
    <s v="Дивизион Конференции"/>
    <s v="К работе"/>
    <m/>
    <m/>
    <s v="Екатерина"/>
    <s v="2.14. Разослать приглашения всем спикерам по программе"/>
    <s v="22.06.2026 03:00"/>
    <x v="15"/>
    <m/>
    <s v="Действие"/>
    <s v="Низкий"/>
    <s v="N"/>
    <m/>
    <s v="27.04.2026 16:51:09"/>
    <m/>
    <m/>
    <s v="Екатерина"/>
    <m/>
    <m/>
    <s v="N"/>
    <s v="N"/>
    <m/>
    <x v="9"/>
    <m/>
    <s v="2026-04-27 16:51:09: Екатерина создал(-а) задачу;_x000a_2026-04-27 16:51:21: Екатерина изменил(-а) название на 2.14. Разослать приглашения всем спикерам по прогамме;_x000a_2026-04-27 17:27:47: Екатерина изменил(-а) дату на 26.06.2026;_x000a_2026-04-27 17:27:53: Екатерина добавил(-а) тег PRE;_x000a_2026-04-28 16:15:33: Екатерина изменил(-а) название на 2.14. Разослать приглашения всем спикерам по программе;_x000a_2026-04-28 18:48:57: Екатерина переместил(-а) задачу в проекте ЛИЧНО сентябрь 24.09.2026 в колонку Дивизион Конференции / К работе;_x000a_2026-04-29 09:53:20: Екатерина добавил(-а) тег страт-п-с-26-09;_x000a_2026-04-29 09:53:21: Екатерина добавил(-а) тег Продюсер;_x000a_2026-04-29 10:20:43: Екатерина изменил(-а) дату на 22.06.2026 - 26.06.2026;_x000a_2026-04-29 10:20:44: Екатерина изменил(-а) дату на 22.06.2026 - 25.06.2026;_x000a_2026-04-30 14:36:31: Екатерина убрал(-а) тег страт-п-с-26-09;_x000a_2026-04-30 14:36:34: Екатерина добавил(-а) тег страт-п-с-26-09"/>
    <x v="0"/>
    <x v="3"/>
    <x v="3"/>
  </r>
  <r>
    <n v="120"/>
    <s v="ЛИЧНО сентябрь 24.09.2026"/>
    <s v="Дивизион Конференции"/>
    <s v="К работе"/>
    <m/>
    <m/>
    <s v="Екатерина"/>
    <s v="2.15. Провести промеж. согласование схемы зала/залов с ШП"/>
    <s v="22.06.2026 03:00"/>
    <x v="15"/>
    <m/>
    <s v="Действие"/>
    <s v="Низкий"/>
    <s v="N"/>
    <m/>
    <s v="27.04.2026 16:51:03"/>
    <m/>
    <m/>
    <s v="Екатерина"/>
    <m/>
    <m/>
    <s v="N"/>
    <s v="N"/>
    <m/>
    <x v="9"/>
    <m/>
    <s v="2026-04-27 16:51:03: Екатерина создал(-а) задачу;_x000a_2026-04-27 16:51:28: Екатерина изменил(-а) название на 2.15. Провести промеж. согласование схемы зала/залов с ШП;_x000a_2026-04-27 17:28:59: Екатерина изменил(-а) дату на 26.06.2026;_x000a_2026-04-27 17:29:13: Екатерина добавил(-а) тег PRE;_x000a_2026-04-28 18:49:00: Екатерина переместил(-а) задачу в проекте ЛИЧНО сентябрь 24.09.2026 в колонку Дивизион Конференции / К работе;_x000a_2026-04-29 09:53:25: Екатерина добавил(-а) тег страт-п-с-26-09;_x000a_2026-04-29 09:53:27: Екатерина добавил(-а) тег Продюсер;_x000a_2026-04-29 10:21:15: Екатерина изменил(-а) дату на 22.06.2026 - 26.06.2026;_x000a_2026-04-29 10:21:17: Екатерина изменил(-а) дату на 22.06.2026 - 25.06.2026;_x000a_2026-04-30 14:36:43: Екатерина убрал(-а) тег страт-п-с-26-09;_x000a_2026-04-30 14:36:46: Екатерина добавил(-а) тег страт-п-с-26-09"/>
    <x v="0"/>
    <x v="3"/>
    <x v="3"/>
  </r>
  <r>
    <n v="117"/>
    <s v="ЛИЧНО сентябрь 24.09.2026"/>
    <s v="Дивизион Конференции"/>
    <s v="К работе"/>
    <m/>
    <m/>
    <s v="Екатерина"/>
    <s v="2.18. Получить от спикеров не менее 90% подтверждений о прочтении  сообщений"/>
    <s v="03.08.2026 03:00"/>
    <x v="13"/>
    <m/>
    <s v="Действие"/>
    <s v="Низкий"/>
    <s v="N"/>
    <m/>
    <s v="27.04.2026 16:50:33"/>
    <m/>
    <m/>
    <s v="Екатерина"/>
    <m/>
    <m/>
    <s v="N"/>
    <s v="N"/>
    <m/>
    <x v="8"/>
    <m/>
    <s v="2026-04-27 16:50:33: Екатерина создал(-а) задачу;_x000a_2026-04-27 17:31:56: Екатерина изменил(-а) дату на 07.08.2026;_x000a_2026-04-27 17:32:01: Екатерина добавил(-а) тег PRE;_x000a_2026-04-27 17:34:59: Екатерина убрал(-а) тег PRE;_x000a_2026-04-27 17:35:01: Екатерина добавил(-а) тег PRO;_x000a_2026-04-28 18:49:15: Екатерина переместил(-а) задачу в проекте ЛИЧНО сентябрь 24.09.2026 в колонку Дивизион Конференции / К работе;_x000a_2026-04-29 09:55:23: Екатерина добавил(-а) тег страт-п-с-26-09;_x000a_2026-04-29 09:55:24: Екатерина добавил(-а) тег Продюсер;_x000a_2026-04-29 10:22:07: Екатерина изменил(-а) дату на 03.08.2026;_x000a_2026-04-29 10:22:10: Екатерина изменил(-а) дату на 03.08.2026 - 03.08.2026;_x000a_2026-04-29 10:22:10: Екатерина изменил(-а) дату на 03.08.2026 - 06.08.2026;_x000a_2026-04-30 14:40:08: Екатерина убрал(-а) тег страт-п-с-26-09;_x000a_2026-04-30 14:40:11: Екатерина добавил(-а) тег страт-п-с-26-09"/>
    <x v="0"/>
    <x v="3"/>
    <x v="3"/>
  </r>
  <r>
    <n v="113"/>
    <s v="ЛИЧНО сентябрь 24.09.2026"/>
    <s v="Дивизион Конференции"/>
    <s v="К работе"/>
    <m/>
    <m/>
    <s v="Екатерина"/>
    <s v="2.22. Написать ТЗ дизайнеру для подготовки презентации спикера - 3 слайда в гугл-документах:"/>
    <s v="03.08.2026 03:00"/>
    <x v="13"/>
    <m/>
    <s v="Действие"/>
    <s v="Низкий"/>
    <s v="N"/>
    <m/>
    <s v="27.04.2026 16:49:12"/>
    <m/>
    <m/>
    <s v="Екатерина"/>
    <m/>
    <m/>
    <s v="N"/>
    <s v="N"/>
    <m/>
    <x v="8"/>
    <m/>
    <s v="2026-04-27 16:49:13: Екатерина создал(-а) задачу;_x000a_2026-04-27 16:49:19: Екатерина изменил(-а) название на 2.22. Написать ТЗ дизайнеру для подготовки презентации спикера - 3 слайда в гугл-документах:;_x000a_2026-04-27 17:32:58: Екатерина изменил(-а) дату на 07.08.2026;_x000a_2026-04-27 17:33:03: Екатерина добавил(-а) тег PRE;_x000a_2026-04-27 17:35:29: Екатерина убрал(-а) тег PRE;_x000a_2026-04-27 17:35:32: Екатерина добавил(-а) тег PRO;_x000a_2026-04-28 16:17:19: Екатерина изменил(-а) название на х:;_x000a_2026-04-28 16:17:21: Екатерина изменил(-а) название на 2.22. Написать ТЗ дизайнеру для подготовки презентации спикера - 3 слайда в гугл-документах:;_x000a_2026-04-28 18:49:28: Екатерина переместил(-а) задачу в проекте ЛИЧНО сентябрь 24.09.2026 в колонку Дивизион Конференции / К работе;_x000a_2026-04-29 09:55:51: Екатерина добавил(-а) тег страт-п-с-26-09;_x000a_2026-04-29 09:55:52: Екатерина добавил(-а) тег Продюсер;_x000a_2026-04-29 10:23:02: Екатерина изменил(-а) дату на 03.08.2026 - 07.08.2026;_x000a_2026-04-29 10:23:05: Екатерина изменил(-а) дату на 03.08.2026 - 06.08.2026;_x000a_2026-04-30 14:45:04: Екатерина убрал(-а) тег страт-п-с-26-09;_x000a_2026-04-30 14:45:10: Екатерина добавил(-а) тег страт-п-с-26-09"/>
    <x v="0"/>
    <x v="3"/>
    <x v="3"/>
  </r>
  <r>
    <n v="112"/>
    <s v="ЛИЧНО сентябрь 24.09.2026"/>
    <s v="Дивизион Конференции"/>
    <s v="К работе"/>
    <m/>
    <m/>
    <s v="Екатерина"/>
    <s v="2.23. К проведению  еженед. совещания выполнено не менее  90% задач пред и текущ. спринтов + еженедельный отчет опубликовать в чате"/>
    <s v="10.08.2026 03:00"/>
    <x v="12"/>
    <m/>
    <s v="Действие"/>
    <s v="Низкий"/>
    <s v="N"/>
    <m/>
    <s v="27.04.2026 16:48:32"/>
    <m/>
    <m/>
    <s v="Екатерина"/>
    <m/>
    <m/>
    <s v="N"/>
    <s v="N"/>
    <m/>
    <x v="8"/>
    <m/>
    <s v="2026-04-27 16:48:32: Екатерина создал(-а) задачу;_x000a_2026-04-27 16:48:49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_x000a_2026-04-27 16:48:51: Екатерина изменил(-а) название на 2.23. К проведению еженед. совещания выполнено не менее 90% задач пред и текущ. спринтов + еженедельный отчет по задачам, протокол опубликован в чате;_x000a_2026-04-27 16:48:54: Екатерина изменил(-а) название на 2.23. К проведению еженед. совещания выполнено не менее 90% задач пред и текущ. спринтов + еженедельный отчет опубликован в чате;_x000a_2026-04-27 16:48:57: Екатерина изменил(-а) название на 2.23. К проведению еженед. совещания выполнено не менее 90% задач пред и текущ. спринтов + еженедельный отчет опубликовать в чате;_x000a_2026-04-27 17:33:28: Екатерина изменил(-а) дату на 14.08.2026;_x000a_2026-04-27 17:33:31: Екатерина добавил(-а) тег PRE;_x000a_2026-04-27 17:35:37: Екатерина убрал(-а) тег PRE;_x000a_2026-04-27 17:35:39: Екатерина добавил(-а) тег PRO;_x000a_2026-04-28 18:49:36: Екатерина переместил(-а) задачу в проекте ЛИЧНО сентябрь 24.09.2026 в колонку Дивизион Конференции / К работе;_x000a_2026-04-29 09:56:54: Екатерина добавил(-а) тег страт-п-с-26-09;_x000a_2026-04-29 09:56:59: Екатерина добавил(-а) тег Продюсер;_x000a_2026-04-29 10:23:20: Екатерина изменил(-а) дату на 10.08.2026 - 14.08.2026;_x000a_2026-04-29 10:23:22: Екатерина изменил(-а) дату на 10.08.2026 - 13.08.2026;_x000a_2026-04-30 14:45:29: Екатерина убрал(-а) тег страт-п-с-26-09;_x000a_2026-04-30 14:45:31: Екатерина добавил(-а) тег страт-п-с-26-09"/>
    <x v="0"/>
    <x v="3"/>
    <x v="3"/>
  </r>
  <r>
    <n v="111"/>
    <s v="ЛИЧНО сентябрь 24.09.2026"/>
    <s v="Дивизион Конференции"/>
    <s v="К работе"/>
    <m/>
    <m/>
    <s v="Екатерина"/>
    <s v="2.24.  Подписать со спикерами не менее 15-35%  договоров"/>
    <s v="10.08.2026 03:00"/>
    <x v="12"/>
    <m/>
    <s v="Действие"/>
    <s v="Низкий"/>
    <s v="N"/>
    <m/>
    <s v="27.04.2026 16:48:30"/>
    <m/>
    <m/>
    <s v="Екатерина"/>
    <m/>
    <m/>
    <s v="N"/>
    <s v="N"/>
    <m/>
    <x v="8"/>
    <m/>
    <s v="2026-04-27 16:48:30: Екатерина создал(-а) задачу;_x000a_2026-04-27 16:48:38: Екатерина изменил(-а) название на 2.24. Подписать со спикерами не менее 15-35% договоров;_x000a_2026-04-27 17:33:41: Екатерина изменил(-а) дату на 14.08.2026;_x000a_2026-04-27 17:33:47: Екатерина добавил(-а) тег PRE;_x000a_2026-04-27 17:35:43: Екатерина убрал(-а) тег PRE;_x000a_2026-04-27 17:35:45: Екатерина добавил(-а) тег PRO;_x000a_2026-04-28 18:49:39: Екатерина переместил(-а) задачу в проекте ЛИЧНО сентябрь 24.09.2026 в колонку Дивизион Конференции / К работе;_x000a_2026-04-29 09:57:09: Екатерина добавил(-а) тег страт-п-с-26-09;_x000a_2026-04-29 09:57:12: Екатерина добавил(-а) тег Продюсер;_x000a_2026-04-29 10:23:32: Екатерина изменил(-а) дату на 10.08.2026 - 14.08.2026;_x000a_2026-04-29 10:23:33: Екатерина изменил(-а) дату на 10.08.2026 - 13.08.2026;_x000a_2026-04-30 14:45:45: Екатерина убрал(-а) тег страт-п-с-26-09;_x000a_2026-04-30 14:45:52: Екатерина добавил(-а) тег страт-п-с-26-09"/>
    <x v="0"/>
    <x v="3"/>
    <x v="3"/>
  </r>
  <r>
    <n v="110"/>
    <s v="ЛИЧНО сентябрь 24.09.2026"/>
    <s v="Дивизион Конференции"/>
    <s v="К работе"/>
    <m/>
    <m/>
    <s v="Екатерина"/>
    <s v="2.25.  Провести согласование рассылок с Лидгеном"/>
    <s v="10.08.2026 03:00"/>
    <x v="12"/>
    <m/>
    <s v="Действие"/>
    <s v="Низкий"/>
    <s v="N"/>
    <m/>
    <s v="27.04.2026 16:47:55"/>
    <m/>
    <m/>
    <s v="Екатерина"/>
    <m/>
    <m/>
    <s v="N"/>
    <s v="N"/>
    <m/>
    <x v="8"/>
    <m/>
    <s v="2026-04-27 16:47:56: Екатерина создал(-а) задачу;_x000a_2026-04-27 16:48:07: Екатерина изменил(-а) название на 2.25. Провести согласование рассылок с Лидгеном;_x000a_2026-04-27 17:33:54: Екатерина изменил(-а) дату на 14.04.2026;_x000a_2026-04-27 17:33:58: Екатерина изменил(-а) дату на 14.08.2026;_x000a_2026-04-27 17:34:02: Екатерина добавил(-а) тег PRE;_x000a_2026-04-27 17:35:51: Екатерина убрал(-а) тег PRE;_x000a_2026-04-27 17:35:53: Екатерина добавил(-а) тег PRO;_x000a_2026-04-28 18:49:43: Екатерина переместил(-а) задачу в проекте ЛИЧНО сентябрь 24.09.2026 в колонку Дивизион Конференции / К работе;_x000a_2026-04-29 09:57:37: Екатерина добавил(-а) тег страт-п-с-26-09;_x000a_2026-04-29 09:57:40: Екатерина добавил(-а) тег Продюсер;_x000a_2026-04-29 10:23:38: Екатерина изменил(-а) дату на 10.08.2026 - 14.08.2026;_x000a_2026-04-29 10:23:39: Екатерина изменил(-а) дату на 10.08.2026 - 13.08.2026;_x000a_2026-04-30 14:46:05: Екатерина убрал(-а) тег страт-п-с-26-09;_x000a_2026-04-30 14:46:10: Екатерина добавил(-а) тег страт-п-с-26-09"/>
    <x v="0"/>
    <x v="3"/>
    <x v="3"/>
  </r>
  <r>
    <n v="109"/>
    <s v="ЛИЧНО сентябрь 24.09.2026"/>
    <s v="Дивизион Конференции"/>
    <s v="К работе"/>
    <m/>
    <m/>
    <s v="Екатерина"/>
    <s v="2.26. Брендированный шаблон презентации отправить подтвердившимся спикерам"/>
    <s v="10.08.2026 03:00"/>
    <x v="12"/>
    <m/>
    <s v="Действие"/>
    <s v="Низкий"/>
    <s v="N"/>
    <m/>
    <s v="27.04.2026 16:47:53"/>
    <m/>
    <m/>
    <s v="Екатерина"/>
    <m/>
    <m/>
    <s v="N"/>
    <s v="N"/>
    <m/>
    <x v="8"/>
    <m/>
    <s v="2026-04-27 16:47:55: Екатерина создал(-а) задачу;_x000a_2026-04-27 16:48:02: Екатерина изменил(-а) название на 2.26. Брендированный шаблон презентации отправить подтвердившимся спикерам;_x000a_2026-04-27 17:34:10: Екатерина изменил(-а) дату на 14.08.2026;_x000a_2026-04-27 17:34:14: Екатерина добавил(-а) тег PRE;_x000a_2026-04-27 17:35:56: Екатерина убрал(-а) тег PRE;_x000a_2026-04-27 17:35:58: Екатерина добавил(-а) тег PRO;_x000a_2026-04-28 18:49:50: Екатерина переместил(-а) задачу в проекте ЛИЧНО сентябрь 24.09.2026 в колонку Дивизион Конференции / К работе;_x000a_2026-04-29 09:57:48: Екатерина добавил(-а) тег страт-п-с-26-09;_x000a_2026-04-29 09:57:52: Екатерина добавил(-а) тег Продюсер;_x000a_2026-04-29 10:23:48: Екатерина изменил(-а) дату на 10.08.2026 - 14.08.2026;_x000a_2026-04-29 10:23:48: Екатерина изменил(-а) дату на 10.08.2026 - 13.08.2026;_x000a_2026-04-30 14:46:19: Екатерина убрал(-а) тег страт-п-с-26-09;_x000a_2026-04-30 14:46:23: Екатерина добавил(-а) тег страт-п-с-26-09"/>
    <x v="0"/>
    <x v="3"/>
    <x v="3"/>
  </r>
  <r>
    <n v="95"/>
    <s v="ЛИЧНО сентябрь 24.09.2026"/>
    <s v="Дивизион Конференции"/>
    <s v="К работе"/>
    <m/>
    <m/>
    <s v="Екатерина"/>
    <s v="2.40. Получить презентации от70% подтвержденных спикеров"/>
    <s v="31.08.2026 03:00"/>
    <x v="19"/>
    <m/>
    <s v="Действие"/>
    <s v="Низкий"/>
    <s v="N"/>
    <m/>
    <s v="27.04.2026 16:34:14"/>
    <m/>
    <m/>
    <s v="Екатерина"/>
    <m/>
    <m/>
    <s v="N"/>
    <s v="N"/>
    <m/>
    <x v="8"/>
    <m/>
    <s v="2026-04-27 16:34:15: Екатерина создал(-а) задачу;_x000a_2026-04-27 16:34:31: Екатерина изменил(-а) название на 2.40. Получены презентации от70% подтвержденных спикеров;_x000a_2026-04-27 16:36:15: Екатерина изменил(-а) название на 2.40. Получить презентации от70% подтвержденных спикеров;_x000a_2026-04-27 17:38:48: Екатерина добавил(-а) тег PRO;_x000a_2026-04-28 18:50:50: Екатерина переместил(-а) задачу в проекте ЛИЧНО сентябрь 24.09.2026 в колонку Дивизион Конференции / К работе;_x000a_2026-04-29 10:36:15: Екатерина изменил(-а) дату на 31.08.2026 - 31.08.2026;_x000a_2026-04-29 10:36:16: Екатерина изменил(-а) дату на 31.08.2026 - 03.09.2026;_x000a_2026-04-29 11:07:17: Екатерина добавил(-а) тег страт-п-с-26-09;_x000a_2026-04-29 11:07:18: Екатерина добавил(-а) тег Продюсер;_x000a_2026-04-30 14:49:24: Екатерина убрал(-а) тег страт-п-с-26-09;_x000a_2026-04-30 14:49:26: Екатерина добавил(-а) тег страт-п-с-26-09"/>
    <x v="0"/>
    <x v="3"/>
    <x v="3"/>
  </r>
  <r>
    <n v="79"/>
    <s v="ЛИЧНО сентябрь 24.09.2026"/>
    <s v="Дивизион Конференции"/>
    <s v="К работе"/>
    <s v="2.54. Провести модерацию мероприятия"/>
    <s v="2.54. Провести модерацию мероприятия"/>
    <s v="Екатерина"/>
    <s v="2.61. Проконтролировать выставление счета"/>
    <s v="28.09.2026 03:00"/>
    <x v="0"/>
    <m/>
    <s v="Действие"/>
    <s v="Низкий"/>
    <s v="N"/>
    <m/>
    <s v="27.04.2026 16:24:29"/>
    <m/>
    <m/>
    <s v="Екатерина"/>
    <m/>
    <m/>
    <s v="N"/>
    <s v="N"/>
    <m/>
    <x v="6"/>
    <m/>
    <s v="2026-04-27 16:24:29: Екатерина создал(-а) задачу;_x000a_2026-04-27 16:33:17: Екатерина изменил(-а) название на 2.61. Проконтролировано выставление счета;_x000a_2026-04-27 16:40:28: Екатерина изменил(-а) название на 2.61. Проконтролировать выставление счета;_x000a_2026-04-27 17:37:27: Екатерина добавил(-а) тег POST;_x000a_2026-04-27 17:44:06: Екатерина изменил(-а) дату на 02.10.2026;_x000a_2026-04-28 18:52:25: Екатерина переместил(-а) задачу в проекте ЛИЧНО сентябрь 24.09.2026 в колонку Дивизион Конференции / К работе;_x000a_2026-04-28 18:53:48: Екатерина изменил(-а) родительскую задачу на #81 2.54. Провести модерацию мероприятия;_x000a_2026-04-29 10:19:06: Екатерина изменил(-а) дату на 28.09.2026 - 02.10.2026;_x000a_2026-04-29 10:19:07: Екатерина изменил(-а) дату на 28.09.2026 - 01.10.2026;_x000a_2026-04-29 11:09:39: Екатерина добавил(-а) тег страт-п-с-26-09;_x000a_2026-04-29 11:09:39: Екатерина добавил(-а) тег Продюсер;_x000a_2026-04-30 14:55:09: Екатерина убрал(-а) тег страт-п-с-26-09;_x000a_2026-04-30 14:55:11: Екатерина добавил(-а) тег страт-п-с-26-09"/>
    <x v="0"/>
    <x v="3"/>
    <x v="3"/>
  </r>
  <r>
    <n v="78"/>
    <s v="ЛИЧНО сентябрь 24.09.2026"/>
    <s v="Дивизион Конференции"/>
    <s v="К работе"/>
    <m/>
    <m/>
    <s v="Екатерина"/>
    <s v="2.56. Подготовить отчет к Итоговому совещанию для рабочей группы"/>
    <s v="28.09.2026 03:00"/>
    <x v="0"/>
    <m/>
    <s v="Действие"/>
    <s v="Низкий"/>
    <s v="N"/>
    <m/>
    <s v="27.04.2026 16:24:17"/>
    <m/>
    <m/>
    <s v="Екатерина"/>
    <m/>
    <m/>
    <s v="N"/>
    <s v="N"/>
    <m/>
    <x v="6"/>
    <m/>
    <s v="2026-04-27 16:24:17: Екатерина создал(-а) задачу;_x000a_2026-04-27 16:32:32: Екатерина изменил(-а) название на 2.56. Подготовлен отчет к Итоговому совещанию для рабочей группы;_x000a_2026-04-27 16:39:57: Екатерина изменил(-а) название на 2.56. Подготовить отчет к Итоговому совещанию для рабочей группы;_x000a_2026-04-27 17:36:55: Екатерина добавил(-а) тег POST;_x000a_2026-04-27 17:42:28: Екатерина изменил(-а) дату на 02.10.2026;_x000a_2026-04-27 17:43:16: Екатерина переместил(-а) задачу в проекте ЛИЧНО сентябрь 24.09.2026 в колонку 2. Продюсер Лично сентябрь / В работе;_x000a_2026-04-27 17:43:25: Екатерина переместил(-а) задачу в проекте ЛИЧНО сентябрь 24.09.2026 в колонку 2. Продюсер Лично сентябрь / К работе;_x000a_2026-04-28 18:52:29: Екатерина переместил(-а) задачу в проекте ЛИЧНО сентябрь 24.09.2026 в колонку Дивизион Конференции / К работе;_x000a_2026-04-29 10:17:28: Екатерина изменил(-а) дату на 28.09.2026 - 02.10.2026;_x000a_2026-04-29 10:17:29: Екатерина изменил(-а) дату на 04.09.2026 - 02.10.2026;_x000a_2026-04-29 10:17:34: Екатерина изменил(-а) дату на 28.09.2026 - 02.10.2026;_x000a_2026-04-29 10:17:37: Екатерина изменил(-а) дату на 28.09.2026 - 01.10.2026;_x000a_2026-04-29 11:09:15: Екатерина добавил(-а) тег страт-п-с-26-09;_x000a_2026-04-29 11:09:16: Екатерина добавил(-а) тег Продюсер;_x000a_2026-04-30 14:54:12: Екатерина убрал(-а) тег страт-п-с-26-09;_x000a_2026-04-30 14:54:14: Екатерина добавил(-а) тег страт-п-с-26-09"/>
    <x v="0"/>
    <x v="3"/>
    <x v="3"/>
  </r>
  <r>
    <n v="73"/>
    <s v="ЛИЧНО сентябрь 24.09.2026"/>
    <s v="Дивизион Конференции"/>
    <s v="К работе"/>
    <m/>
    <m/>
    <s v="Екатерина"/>
    <s v="1.04. Провести контрольное совещание по задачам проекта"/>
    <s v="01.06.2026 03:00"/>
    <x v="1"/>
    <m/>
    <s v="Действие"/>
    <s v="Низкий"/>
    <s v="N"/>
    <m/>
    <s v="27.04.2026 13:15:33"/>
    <m/>
    <s v="Елена"/>
    <s v="Екатерина, Елена"/>
    <m/>
    <m/>
    <s v="N"/>
    <s v="N"/>
    <m/>
    <x v="20"/>
    <m/>
    <s v="2026-04-27 13:15:33: Екатерина создал(-а) задачу;_x000a_2026-04-27 13:15:45: Екатерина добавил(-а) подзадачу #38 1.03. Произвести приемку Тизера;_x000a_2026-04-27 13:15:46: Екатерина убрал(-а) подзадачу #38 1.03. Произвести приемку Тизера;_x000a_2026-04-27 13:23:48: Екатерина добавил(-а) файл https://api.weeek.net/ws/941227/files/a1a4a6a8-deb7-4cf1-9c2f-ad8f1bd32df5;_x000a_2026-04-27 13:23:48: Екатерина изменил(-а) название на 1.04. Провести контрольное совещание по задачам проекта_x000a_Провести приемку схемы зала с Координтором_x000a_Провести контрольное совещание по задачам проекта;_x000a_2026-04-27 13:23:53: Екатерина изменил(-а) название на 1.04. Провести контрольное совещание по задачам проекта;_x000a_2026-04-27 13:25:58: Екатерина изменил(-а) дату на 05.06.2026;_x000a_2026-04-27 13:26:12: Екатерина изменил(-а) дату на 04.06.2026;_x000a_2026-04-27 13:26:50: Екатерина добавил(-а) тег PRE;_x000a_2026-04-27 15:23:12: Екатерина назначил(-а) Екатерина исполнителем;_x000a_2026-04-27 15:27:32: Екатерина изменил(-а) дату на 05.06.2026;_x000a_2026-04-28 13:15:51: Екатерина изменил(-а) дату на 01.06.2026 - 05.06.2026;_x000a_2026-04-28 13:16:08: Екатерина изменил(-а) дату на 04.06.2026 - 05.06.2026;_x000a_2026-04-28 13:16:09: Екатерина изменил(-а) дату на 01.06.2026 - 05.06.2026;_x000a_2026-04-28 13:16:11: Екатерина изменил(-а) дату на 04.06.2026 - 05.06.2026;_x000a_2026-04-28 13:16:16: Екатерина изменил(-а) дату на 01.06.2026 - 05.06.2026;_x000a_2026-04-28 13:16:19: Екатерина изменил(-а) дату на 01.06.2026 - 04.06.2026;_x000a_2026-04-28 15:51:26: Екатерина добавил(-а) тег страт-п-с-26-09;_x000a_2026-04-28 15:51:29: Екатерина добавил(-а) тег ШП;_x000a_2026-04-30 10:31:20: Екатерина назначил(-а) Елена исполнителем;_x000a_2026-04-30 14:31:53: Екатерина убрал(-а) тег страт-п-с-26-09;_x000a_2026-04-30 14:31:56: Екатерина добавил(-а) тег страт-п-с-26-09"/>
    <x v="0"/>
    <x v="8"/>
    <x v="6"/>
  </r>
  <r>
    <n v="72"/>
    <s v="ЛИЧНО сентябрь 24.09.2026"/>
    <s v="Дивизион Конференции"/>
    <s v="К работе"/>
    <m/>
    <m/>
    <s v="Екатерина"/>
    <s v="1.05. Провести приемку схемы зала с Координатором"/>
    <s v="01.06.2026 03:00"/>
    <x v="1"/>
    <m/>
    <s v="Действие"/>
    <s v="Низкий"/>
    <s v="N"/>
    <m/>
    <s v="27.04.2026 13:15:30"/>
    <m/>
    <s v="Елена"/>
    <s v="Екатерина, Елена"/>
    <m/>
    <m/>
    <s v="N"/>
    <s v="N"/>
    <m/>
    <x v="20"/>
    <m/>
    <s v="2026-04-27 13:15:30: Екатерина создал(-а) задачу;_x000a_2026-04-27 13:24:00: Екатерина изменил(-а) название на 1.05. Провести приемку схемы зала с Координтором_x000a_Провести контрольное совещание по задачам проекта;_x000a_2026-04-27 13:24:03: Екатерина изменил(-а) название на 1.05. Провести приемку схемы зала с Координтором;_x000a_2026-04-27 13:24:06: Екатерина изменил(-а) название на 1.05. Провести приемку схемы зала с Координfтором;_x000a_2026-04-27 13:24:07: Екатерина изменил(-а) название на 1.05. Провести приемку схемы зала с Координтором;_x000a_2026-04-27 13:24:07: Екатерина изменил(-а) название на 1.05. Провести приемку схемы зала с Координатором;_x000a_2026-04-27 13:25:15: Екатерина изменил(-а) дату на 08.04.2021;_x000a_2026-04-27 13:26:07: Екатерина изменил(-а) дату на 04.06.2021;_x000a_2026-04-27 13:26:56: Екатерина добавил(-а) тег PRE;_x000a_2026-04-27 15:23:21: Екатерина назначил(-а) Екатерина исполнителем;_x000a_2026-04-27 15:27:05: Екатерина убрал(-а) дату;_x000a_2026-04-27 15:27:22: Екатерина изменил(-а) дату на 05.06.2026;_x000a_2026-04-28 13:16:42: Екатерина изменил(-а) дату на 01.06.2026;_x000a_2026-04-28 13:16:45: Екатерина изменил(-а) дату на 01.06.2026 - 01.06.2026;_x000a_2026-04-28 13:16:47: Екатерина изменил(-а) дату на 01.06.2026 - 04.06.2026;_x000a_2026-04-28 13:16:51: Екатерина изменил(-а) дату на 04.06.2026 - 04.06.2026;_x000a_2026-04-28 13:16:53: Екатерина изменил(-а) дату на 01.06.2026 - 04.06.2026;_x000a_2026-04-28 15:51:37: Екатерина добавил(-а) тег ШП;_x000a_2026-04-28 15:51:41: Екатерина добавил(-а) тег страт-п-с-26-09;_x000a_2026-04-30 10:31:23: Екатерина назначил(-а) Елена исполнителем"/>
    <x v="0"/>
    <x v="8"/>
    <x v="6"/>
  </r>
  <r>
    <n v="71"/>
    <s v="ЛИЧНО сентябрь 24.09.2026"/>
    <s v="Дивизион Конференции"/>
    <s v="К работе"/>
    <m/>
    <m/>
    <s v="Екатерина"/>
    <s v="1.06. Провести контрольное совещание по задачам проекта"/>
    <s v="15.06.2026 03:00"/>
    <x v="16"/>
    <m/>
    <s v="Действие"/>
    <s v="Низкий"/>
    <s v="N"/>
    <m/>
    <s v="27.04.2026 13:15:27"/>
    <m/>
    <s v="Елена"/>
    <s v="Екатерина, Елена"/>
    <m/>
    <m/>
    <s v="N"/>
    <s v="N"/>
    <m/>
    <x v="20"/>
    <m/>
    <s v="2026-04-27 13:15:27: Екатерина создал(-а) задачу;_x000a_2026-04-27 13:29:30: Екатерина изменил(-а) название на 1.06. 1.6. Проведено контрольное совещание по задачам проекта _x000a_1.7. Приемка Программы и Концепции, отдельное внимание к выводам по исследованию_x000a__x000a_1.8. Согласование сметы расходов по Рабочей группе с фин отделом;_x000a_2026-04-27 13:29:36: Екатерина изменил(-а) название на 1.06. 1.6. Проведено контрольное совещание по задачам проекта;_x000a_2026-04-27 13:29:38: Екатерина изменил(-а) название на 1.06. Проведено контрольное совещание по задачам проекта;_x000a_2026-04-27 13:29:46: Екатерина изменил(-а) дату на 05.06.2026;_x000a_2026-04-27 13:29:51: Екатерина добавил(-а) тег PRE;_x000a_2026-04-27 13:33:15: Екатерина изменил(-а) дату на 19.06.2026;_x000a_2026-04-27 13:36:58: Екатерина изменил(-а) название на 1.06. Провеcn контрольное совещание по задачам проекта;_x000a_2026-04-27 13:36:59: Екатерина изменил(-а) название на 1.06. Прове контрольное совещание по задачам проекта;_x000a_2026-04-27 13:37:00: Екатерина изменил(-а) название на 1.06. Провести контрольное совещание по задачам проекта;_x000a_2026-04-27 15:23:24: Екатерина назначил(-а) Екатерина исполнителем;_x000a_2026-04-28 13:17:19: Екатерина изменил(-а) дату на 15.06.2026;_x000a_2026-04-28 13:17:20: Екатерина изменил(-а) дату на 18.06.2026;_x000a_2026-04-28 13:17:22: Екатерина изменил(-а) дату на 15.06.2026;_x000a_2026-04-28 13:17:22: Екатерина изменил(-а) дату на 15.06.2026 - 15.06.2026;_x000a_2026-04-28 13:17:26: Екатерина изменил(-а) дату на 15.06.2026 - 18.06.2026;_x000a_2026-04-28 15:51:50: Екатерина добавил(-а) тег ШП;_x000a_2026-04-28 15:51:54: Екатерина добавил(-а) тег страт-п-с-26-09;_x000a_2026-04-30 10:31:29: Екатерина назначил(-а) Елена исполнителем;_x000a_2026-04-30 10:31:29: Екатерина назначил(-а) Нелли исполнителем;_x000a_2026-04-30 10:31:36: Екатерина отстранил(-а) Нелли от задачи"/>
    <x v="0"/>
    <x v="8"/>
    <x v="6"/>
  </r>
  <r>
    <n v="70"/>
    <s v="ЛИЧНО сентябрь 24.09.2026"/>
    <s v="Дивизион Конференции"/>
    <s v="К работе"/>
    <m/>
    <m/>
    <s v="Екатерина"/>
    <s v="1.07. Провести приемку Программы и Концепции, отдельное внимание к выводам по исследованию"/>
    <s v="15.06.2026 03:00"/>
    <x v="16"/>
    <m/>
    <s v="Действие"/>
    <s v="Низкий"/>
    <s v="N"/>
    <m/>
    <s v="27.04.2026 13:15:22"/>
    <m/>
    <s v="Елена"/>
    <s v="Екатерина, Елена"/>
    <m/>
    <m/>
    <s v="N"/>
    <s v="N"/>
    <m/>
    <x v="20"/>
    <m/>
    <s v="2026-04-27 13:15:23: Екатерина создал(-а) задачу;_x000a_2026-04-27 13:29:58: Екатерина изменил(-а) название на 1.07. 1.7. Приемка Программы и Концепции, отдельное внимание к выводам по исследованию_x000a__x000a_1.8. Согласование сметы расходов по Рабочей группе с фин отделом;_x000a_2026-04-27 13:30:00: Екатерина изменил(-а) название на 1.07. Приемка Программы и Концепции, отдельное внимание к выводам по исследованию_x000a__x000a_1.8. Согласование сметы расходов по Рабочей группе с фин отделом;_x000a_2026-04-27 13:30:05: Екатерина изменил(-а) название на 1.07. Приемка Программы и Концепции, отдельное внимание к выводам по исследованию;_x000a_2026-04-27 13:30:09: Екатерина изменил(-а) дату на 05.06.2026;_x000a_2026-04-27 13:30:15: Екатерина добавил(-а) тег PRE;_x000a_2026-04-27 13:33:55: Екатерина изменил(-а) дату на 19.06.2026;_x000a_2026-04-27 13:37:06: Екатерина изменил(-а) название на 1.07. ППриемка Программы и Концепции, отдельное внимание к выводам по исследованию;_x000a_2026-04-27 13:37:07: Екатерина изменил(-а) название на 1.07. ПровестиПриемка Программы и Концепции, отдельное внимание к выводам по исследованию;_x000a_2026-04-27 13:37:09: Екатерина изменил(-а) название на 1.07. Провести приемка Программы и Концепции, отдельное внимание к выводам по исследованию;_x000a_2026-04-27 13:37:11: Екатерина изменил(-а) название на 1.07. Провести приемку Программы и Концепции, отдельное внимание к выводам по исследованию;_x000a_2026-04-27 15:23:27: Екатерина назначил(-а) Екатерина исполнителем;_x000a_2026-04-28 13:17:39: Екатерина изменил(-а) дату на 15.06.2026;_x000a_2026-04-28 13:17:42: Екатерина изменил(-а) дату на 15.06.2026 - 15.06.2026;_x000a_2026-04-28 13:17:44: Екатерина изменил(-а) дату на 15.06.2026 - 18.06.2026;_x000a_2026-04-28 15:52:09: Екатерина добавил(-а) тег ШП;_x000a_2026-04-28 15:52:12: Екатерина добавил(-а) тег страт-п-с-26-09;_x000a_2026-04-30 10:31:40: Екатерина назначил(-а) Елена исполнителем"/>
    <x v="0"/>
    <x v="8"/>
    <x v="6"/>
  </r>
  <r>
    <n v="69"/>
    <s v="ЛИЧНО сентябрь 24.09.2026"/>
    <s v="Дивизион Конференции"/>
    <s v="К работе"/>
    <m/>
    <m/>
    <s v="Екатерина"/>
    <s v="1.08. Согласовать смету расходов по Рабочей группе с фин отделом"/>
    <s v="15.06.2026 03:00"/>
    <x v="16"/>
    <m/>
    <s v="Действие"/>
    <s v="Низкий"/>
    <s v="N"/>
    <m/>
    <s v="27.04.2026 13:15:17"/>
    <m/>
    <s v="Елена"/>
    <s v="Екатерина, Елена"/>
    <m/>
    <m/>
    <s v="N"/>
    <s v="N"/>
    <m/>
    <x v="20"/>
    <m/>
    <s v="2026-04-27 13:15:17: Екатерина создал(-а) задачу;_x000a_2026-04-27 13:30:24: Екатерина изменил(-а) название на 1.08. 1.8. Согласование сметы расходов по Рабочей группе с фин отделом;_x000a_2026-04-27 13:30:26: Екатерина изменил(-а) название на 1.08. Согласование сметы расходов по Рабочей группе с фин отделом;_x000a_2026-04-27 13:30:29: Екатерина добавил(-а) тег PRE;_x000a_2026-04-27 13:30:41: Екатерина изменил(-а) дату на 05.06.2026;_x000a_2026-04-27 13:34:12: Екатерина изменил(-а) дату на 19.06.2026;_x000a_2026-04-27 13:37:19: Екатерина изменил(-а) название на 1.08. Согласовать сметы расходов по Рабочей группе с фин отделом;_x000a_2026-04-27 13:37:22: Екатерина изменил(-а) название на 1.08. Согласовать смету расходов по Рабочей группе с фин отделом;_x000a_2026-04-27 15:23:33: Екатерина назначил(-а) Екатерина исполнителем;_x000a_2026-04-28 13:17:56: Екатерина изменил(-а) дату на 15.06.2026;_x000a_2026-04-28 13:17:58: Екатерина изменил(-а) дату на 15.06.2026 - 15.06.2026;_x000a_2026-04-28 13:17:59: Екатерина изменил(-а) дату на 15.06.2026 - 18.06.2026;_x000a_2026-04-28 13:18:07: Екатерина изменил(-а) дату на 18.06.2026 - 18.06.2026;_x000a_2026-04-28 13:18:10: Екатерина изменил(-а) дату на 15.06.2026 - 18.06.2026;_x000a_2026-04-28 15:52:18: Екатерина добавил(-а) тег ШП;_x000a_2026-04-28 15:52:24: Екатерина добавил(-а) тег страт-п-с-26-09;_x000a_2026-04-30 10:31:45: Екатерина назначил(-а) Елена исполнителем"/>
    <x v="0"/>
    <x v="8"/>
    <x v="6"/>
  </r>
  <r>
    <n v="68"/>
    <s v="ЛИЧНО сентябрь 24.09.2026"/>
    <s v="Дивизион Конференции"/>
    <s v="К работе"/>
    <m/>
    <m/>
    <s v="Екатерина"/>
    <s v="1.09. Провести контрольное совещание по задачам проекта"/>
    <s v="27.07.2026 03:00"/>
    <x v="14"/>
    <m/>
    <s v="Действие"/>
    <s v="Низкий"/>
    <s v="N"/>
    <m/>
    <s v="27.04.2026 13:15:12"/>
    <m/>
    <s v="Елена"/>
    <s v="Екатерина, Елена"/>
    <m/>
    <m/>
    <s v="N"/>
    <s v="N"/>
    <m/>
    <x v="21"/>
    <m/>
    <s v="2026-04-27 13:15:12: Екатерина создал(-а) задачу;_x000a_2026-04-27 13:26:57: Екатерина изменил(-а) дату на 07.04.2021;_x000a_2026-04-27 13:31:13: Екатерина изменил(-а) название на 1.07. 1.9. Проведено контрольное совещание по задачам проекта_x000a_1.10. Проведена приемка продукта к выпуску в продажу: РГ презентовала проект ШП;_x000a_2026-04-27 13:31:15: Екатерина изменил(-а) название на 1.07. Проведено контрольное совещание по задачам проекта_x000a_1.10. Проведена приемка продукта к выпуску в продажу: РГ презентовала проект ШП;_x000a_2026-04-27 13:31:18: Екатерина изменил(-а) название на 1.07. Проведено контрольное совещание по задачам проекта;_x000a_2026-04-27 13:32:00: Екатерина изменил(-а) дату на 31.07.2026;_x000a_2026-04-27 13:34:53: Екатерина добавил(-а) тег PRO;_x000a_2026-04-27 13:35:32: Екатерина изменил(-а) название на 1.09. Проведено контрольное совещание по задачам проекта;_x000a_2026-04-27 13:37:30: Екатерина изменил(-а) название на 1.09. Провести контрольное совещание по задачам проекта;_x000a_2026-04-27 15:23:38: Екатерина назначил(-а) Екатерина исполнителем;_x000a_2026-04-28 13:18:32: Екатерина изменил(-а) дату на 27.07.2026;_x000a_2026-04-28 13:18:35: Екатерина изменил(-а) дату на 27.07.2026 - 27.07.2026;_x000a_2026-04-28 13:18:35: Екатерина изменил(-а) дату на 27.07.2026 - 30.07.2026;_x000a_2026-04-28 15:52:32: Екатерина добавил(-а) тег ШП;_x000a_2026-04-28 15:52:35: Екатерина добавил(-а) тег страт-п-с-26-09;_x000a_2026-04-30 10:31:48: Екатерина назначил(-а) Елена исполнителем"/>
    <x v="0"/>
    <x v="8"/>
    <x v="6"/>
  </r>
  <r>
    <n v="67"/>
    <s v="ЛИЧНО сентябрь 24.09.2026"/>
    <s v="Дивизион Конференции"/>
    <s v="К работе"/>
    <m/>
    <m/>
    <s v="Екатерина"/>
    <s v="1.10. Провести приемку продукта к выпуску в продажу: РГ презентовала проект ШП"/>
    <s v="27.07.2026 03:00"/>
    <x v="14"/>
    <m/>
    <s v="Действие"/>
    <s v="Низкий"/>
    <s v="N"/>
    <m/>
    <s v="27.04.2026 13:15:04"/>
    <m/>
    <s v="Елена"/>
    <s v="Екатерина, Елена"/>
    <m/>
    <m/>
    <s v="N"/>
    <s v="N"/>
    <m/>
    <x v="21"/>
    <m/>
    <s v="2026-04-27 13:15:05: Екатерина создал(-а) задачу;_x000a_2026-04-27 13:35:18: Екатерина изменил(-а) название на 1.08. Проведена приемка продукта к выпуску в продажу: РГ презентовала проект ШП;_x000a_2026-04-27 13:35:22: Екатерина изменил(-а) название на 1.10. Проведена приемка продукта к выпуску в продажу: РГ презентовала проект ШП;_x000a_2026-04-27 13:35:46: Екатерина изменил(-а) дату на 31.07.2026;_x000a_2026-04-27 13:35:50: Екатерина добавил(-а) тег PRO;_x000a_2026-04-27 13:37:36: Екатерина изменил(-а) название на 1.10. Провести приемка продукта к выпуску в продажу: РГ презентовала проект ШП;_x000a_2026-04-27 13:37:38: Екатерина изменил(-а) название на 1.10. Провести приемку продукта к выпуску в продажу: РГ презентовала проект ШП;_x000a_2026-04-27 15:23:50: Екатерина назначил(-а) Екатерина исполнителем;_x000a_2026-04-27 15:31:55: Екатерина добавил(-а) тег старт вехи Pro;_x000a_2026-04-27 15:32:09: Екатерина убрал(-а) тег старт вехи Pro;_x000a_2026-04-27 15:32:15: Екатерина добавил(-а) тег старт вехи Pro;_x000a_2026-04-28 13:18:50: Екатерина изменил(-а) дату на 27.07.2026;_x000a_2026-04-28 13:18:51: Екатерина изменил(-а) дату на 30.07.2026;_x000a_2026-04-28 13:18:54: Екатерина изменил(-а) дату на 27.07.2026;_x000a_2026-04-28 13:18:55: Екатерина изменил(-а) дату на 27.07.2026 - 27.07.2026;_x000a_2026-04-28 13:18:57: Екатерина изменил(-а) дату на 27.07.2026 - 30.07.2026;_x000a_2026-04-28 15:52:49: Екатерина убрал(-а) тег старт вехи Pro;_x000a_2026-04-28 15:53:10: Екатерина добавил(-а) тег страт-п-с-26-09;_x000a_2026-04-28 15:53:13: Екатерина добавил(-а) тег ШП;_x000a_2026-04-30 10:31:51: Екатерина назначил(-а) Елена исполнителем;_x000a_2026-04-30 14:32:15: Екатерина убрал(-а) тег страт-п-с-26-09;_x000a_2026-04-30 14:32:18: Екатерина добавил(-а) тег страт-п-с-26-09"/>
    <x v="0"/>
    <x v="8"/>
    <x v="6"/>
  </r>
  <r>
    <n v="64"/>
    <s v="ЛИЧНО сентябрь 24.09.2026"/>
    <s v="Дивизион Конференции"/>
    <s v="К работе"/>
    <m/>
    <m/>
    <s v="Екатерина"/>
    <s v="1.11. Проведен контроль план/факта по набору мероприятия"/>
    <s v="03.08.2026 03:00"/>
    <x v="13"/>
    <m/>
    <s v="Действие"/>
    <s v="Низкий"/>
    <s v="N"/>
    <m/>
    <s v="27.04.2026 13:14:54"/>
    <m/>
    <s v="Елена"/>
    <s v="Екатерина, Елена"/>
    <m/>
    <m/>
    <s v="N"/>
    <s v="N"/>
    <m/>
    <x v="21"/>
    <m/>
    <s v="2026-04-27 13:14:56: Екатерина создал(-а) задачу;_x000a_2026-04-27 13:39:10: Екатерина изменил(-а) название на 1.11. Проведен контроль план/факта по набору мероприятия;_x000a_2026-04-27 13:39:22: Екатерина изменил(-а) дату на 07.08.2026;_x000a_2026-04-27 13:40:11: Екатерина добавил(-а) тег PRO;_x000a_2026-04-27 15:23:55: Екатерина назначил(-а) Екатерина исполнителем;_x000a_2026-04-28 13:19:06: Екатерина изменил(-а) дату на 03.08.2026;_x000a_2026-04-28 13:19:10: Екатерина изменил(-а) дату на 03.08.2026 - 03.08.2026;_x000a_2026-04-28 13:19:12: Екатерина изменил(-а) дату на 03.08.2026 - 06.08.2026;_x000a_2026-04-28 15:56:49: Екатерина добавил(-а) тег страт-п-с-26-09;_x000a_2026-04-28 15:57:42: Екатерина добавил(-а) тег ШП;_x000a_2026-04-30 10:31:54: Екатерина назначил(-а) Елена исполнителем;_x000a_2026-04-30 14:32:33: Екатерина убрал(-а) тег страт-п-с-26-09;_x000a_2026-04-30 14:32:35: Екатерина добавил(-а) тег страт-п-с-26-09"/>
    <x v="0"/>
    <x v="8"/>
    <x v="6"/>
  </r>
  <r>
    <n v="63"/>
    <s v="ЛИЧНО сентябрь 24.09.2026"/>
    <s v="Дивизион Конференции"/>
    <s v="К работе"/>
    <m/>
    <m/>
    <s v="Екатерина"/>
    <s v="1.12.Провести контрольное совещание по задачам проекта"/>
    <s v="10.08.2026 03:00"/>
    <x v="12"/>
    <m/>
    <s v="Действие"/>
    <s v="Низкий"/>
    <s v="N"/>
    <m/>
    <s v="27.04.2026 13:14:52"/>
    <m/>
    <s v="Елена"/>
    <s v="Екатерина, Елена"/>
    <m/>
    <m/>
    <s v="N"/>
    <s v="N"/>
    <m/>
    <x v="21"/>
    <m/>
    <s v="2026-04-27 13:14:52: Екатерина создал(-а) задачу;_x000a_2026-04-27 14:35:17: Екатерина изменил(-а) название на 1.12. Провести контрольное совещание по задачам проекта;_x000a_2026-04-27 14:35:19: Екатерина изменил(-а) название на 1.12.Провести контрольное совещание по задачам проекта;_x000a_2026-04-27 14:59:25: Екатерина изменил(-а) дату на 14.08.2026;_x000a_2026-04-27 14:59:29: Екатерина добавил(-а) тег PRO;_x000a_2026-04-27 15:24:01: Екатерина назначил(-а) Екатерина исполнителем;_x000a_2026-04-28 13:19:26: Екатерина изменил(-а) дату на 10.08.2026;_x000a_2026-04-28 13:19:30: Екатерина изменил(-а) дату на 10.08.2026 - 10.08.2026;_x000a_2026-04-28 13:19:31: Екатерина изменил(-а) дату на 10.08.2026 - 13.08.2026;_x000a_2026-04-28 15:56:57: Екатерина добавил(-а) тег старт вехи Pro;_x000a_2026-04-28 15:56:58: Екатерина добавил(-а) тег страт-п-с-26-09;_x000a_2026-04-28 15:57:34: Екатерина убрал(-а) тег старт вехи Pro;_x000a_2026-04-28 15:57:36: Екатерина добавил(-а) тег ШП;_x000a_2026-04-30 10:31:58: Екатерина назначил(-а) Елена исполнителем;_x000a_2026-04-30 14:32:45: Екатерина убрал(-а) тег страт-п-с-26-09;_x000a_2026-04-30 14:32:48: Екатерина добавил(-а) тег страт-п-с-26-09"/>
    <x v="0"/>
    <x v="8"/>
    <x v="6"/>
  </r>
  <r>
    <n v="62"/>
    <s v="ЛИЧНО сентябрь 24.09.2026"/>
    <s v="Дивизион Конференции"/>
    <s v="К работе"/>
    <m/>
    <m/>
    <s v="Екатерина"/>
    <s v="1.13. Провести контроль план/факта по набору мероприятия"/>
    <s v="10.08.2026 03:00"/>
    <x v="12"/>
    <m/>
    <s v="Действие"/>
    <s v="Низкий"/>
    <s v="N"/>
    <m/>
    <s v="27.04.2026 13:14:49"/>
    <m/>
    <s v="Елена"/>
    <s v="Екатерина, Елена"/>
    <m/>
    <m/>
    <s v="N"/>
    <s v="N"/>
    <m/>
    <x v="21"/>
    <m/>
    <s v="2026-04-27 13:14:49: Екатерина создал(-а) задачу;_x000a_2026-04-27 14:35:35: Екатерина изменил(-а) название на 1.13. Провести контроль план/факта по набору мероприятия;_x000a_2026-04-27 14:59:39: Екатерина изменил(-а) дату на 14.08.2026;_x000a_2026-04-27 14:59:45: Екатерина добавил(-а) тег PRO;_x000a_2026-04-27 15:24:03: Екатерина назначил(-а) Екатерина исполнителем;_x000a_2026-04-28 13:19:45: Екатерина изменил(-а) дату на 10.08.2026;_x000a_2026-04-28 13:19:47: Екатерина изменил(-а) дату на 10.08.2026 - 10.08.2026;_x000a_2026-04-28 13:19:50: Екатерина изменил(-а) дату на 10.08.2026 - 13.08.2026;_x000a_2026-04-28 15:57:07: Екатерина добавил(-а) тег POST;_x000a_2026-04-28 15:57:17: Екатерина убрал(-а) тег POST;_x000a_2026-04-28 15:57:20: Екатерина добавил(-а) тег страт-п-с-26-09;_x000a_2026-04-28 15:57:26: Екатерина добавил(-а) тег ШП;_x000a_2026-04-30 10:32:01: Екатерина назначил(-а) Елена исполнителем;_x000a_2026-04-30 14:32:56: Екатерина убрал(-а) тег страт-п-с-26-09;_x000a_2026-04-30 14:32:58: Екатерина добавил(-а) тег страт-п-с-26-09"/>
    <x v="0"/>
    <x v="8"/>
    <x v="6"/>
  </r>
  <r>
    <n v="61"/>
    <s v="ЛИЧНО сентябрь 24.09.2026"/>
    <s v="Дивизион Конференции"/>
    <s v="К работе"/>
    <m/>
    <m/>
    <s v="Екатерина"/>
    <s v="1.14. Провести контроль план/факта по набору мероприятия"/>
    <s v="17.08.2026 03:00"/>
    <x v="11"/>
    <m/>
    <s v="Действие"/>
    <s v="Низкий"/>
    <s v="N"/>
    <m/>
    <s v="27.04.2026 13:14:45"/>
    <m/>
    <s v="Елена"/>
    <s v="Екатерина, Елена"/>
    <m/>
    <m/>
    <s v="N"/>
    <s v="N"/>
    <m/>
    <x v="21"/>
    <m/>
    <s v="2026-04-27 13:14:46: Екатерина создал(-а) задачу;_x000a_2026-04-27 14:35:47: Екатерина изменил(-а) название на 1.14. Провести контроль план/факта по набору мероприятия;_x000a_2026-04-27 15:00:10: Екатерина изменил(-а) дату на 21.08.2026;_x000a_2026-04-27 15:00:14: Екатерина добавил(-а) тег PRO;_x000a_2026-04-27 15:23:29: Екатерина назначил(-а) Екатерина исполнителем;_x000a_2026-04-28 13:19:59: Екатерина изменил(-а) дату на 17.08.2026;_x000a_2026-04-28 13:19:59: Екатерина изменил(-а) дату на 20.08.2026;_x000a_2026-04-28 13:20:02: Екатерина изменил(-а) дату на 17.08.2026 - 20.08.2026;_x000a_2026-04-28 15:58:03: Екатерина добавил(-а) тег страт-п-с-26-09;_x000a_2026-04-28 15:58:05: Екатерина добавил(-а) тег ШП;_x000a_2026-04-30 10:32:04: Екатерина назначил(-а) Елена исполнителем;_x000a_2026-04-30 14:33:04: Екатерина убрал(-а) тег страт-п-с-26-09;_x000a_2026-04-30 14:33:16: Екатерина добавил(-а) тег страт-п-с-26-09"/>
    <x v="0"/>
    <x v="8"/>
    <x v="6"/>
  </r>
  <r>
    <n v="60"/>
    <s v="ЛИЧНО сентябрь 24.09.2026"/>
    <s v="Дивизион Конференции"/>
    <s v="К работе"/>
    <m/>
    <m/>
    <s v="Екатерина"/>
    <s v="1.15. Провести контрольное совещание по задачам проекта"/>
    <s v="24.08.2026 03:00"/>
    <x v="10"/>
    <m/>
    <s v="Действие"/>
    <s v="Низкий"/>
    <s v="N"/>
    <m/>
    <s v="27.04.2026 13:14:41"/>
    <m/>
    <s v="Елена"/>
    <s v="Екатерина, Елена"/>
    <m/>
    <m/>
    <s v="N"/>
    <s v="N"/>
    <m/>
    <x v="21"/>
    <m/>
    <s v="2026-04-27 13:14:41: Екатерина создал(-а) задачу;_x000a_2026-04-27 14:36:22: Екатерина изменил(-а) название на 1.15. Провести контрольное совещание по задачам проекта;_x000a_2026-04-27 15:00:39: Екатерина изменил(-а) дату на 28.08.2026;_x000a_2026-04-27 15:00:43: Екатерина добавил(-а) тег PRO;_x000a_2026-04-27 15:24:09: Екатерина назначил(-а) Екатерина исполнителем;_x000a_2026-04-28 13:20:14: Екатерина изменил(-а) дату на 24.08.2026;_x000a_2026-04-28 13:20:16: Екатерина изменил(-а) дату на 27.08.2026;_x000a_2026-04-28 13:20:18: Екатерина изменил(-а) дату на 24.08.2026;_x000a_2026-04-28 13:20:18: Екатерина изменил(-а) дату на 24.08.2026 - 24.08.2026;_x000a_2026-04-28 13:20:21: Екатерина изменил(-а) дату на 24.08.2026 - 27.08.2026;_x000a_2026-04-28 15:58:12: Екатерина добавил(-а) тег Операционный директор;_x000a_2026-04-28 15:58:13: Екатерина добавил(-а) тег ШП;_x000a_2026-04-30 10:32:07: Екатерина назначил(-а) Елена исполнителем;_x000a_2026-04-30 14:33:33: Екатерина убрал(-а) тег Операционный директор;_x000a_2026-04-30 14:33:37: Екатерина добавил(-а) тег Операционный директор;_x000a_2026-04-30 14:33:42: Екатерина убрал(-а) тег Операционный директор;_x000a_2026-04-30 14:33:48: Екатерина добавил(-а) тег страт-п-с-26-09"/>
    <x v="0"/>
    <x v="8"/>
    <x v="6"/>
  </r>
  <r>
    <n v="59"/>
    <s v="ЛИЧНО сентябрь 24.09.2026"/>
    <s v="Дивизион Конференции"/>
    <s v="К работе"/>
    <m/>
    <m/>
    <s v="Екатерина"/>
    <s v="1.16. Провести контроль план/факта по набору мероприятия"/>
    <s v="24.08.2026 03:00"/>
    <x v="10"/>
    <m/>
    <s v="Действие"/>
    <s v="Низкий"/>
    <s v="N"/>
    <m/>
    <s v="27.04.2026 13:14:37"/>
    <m/>
    <s v="Елена"/>
    <s v="Екатерина, Елена"/>
    <m/>
    <m/>
    <s v="N"/>
    <s v="N"/>
    <m/>
    <x v="21"/>
    <m/>
    <s v="2026-04-27 13:14:37: Екатерина создал(-а) задачу;_x000a_2026-04-27 14:36:41: Екатерина изменил(-а) название на 1.16. Провести контроль план/факта по набору мероприятия;_x000a_2026-04-27 15:00:52: Екатерина изменил(-а) дату на 28.08.2026;_x000a_2026-04-27 15:00:56: Екатерина добавил(-а) тег PRO;_x000a_2026-04-27 15:24:11: Екатерина назначил(-а) Екатерина исполнителем;_x000a_2026-04-28 13:20:30: Екатерина изменил(-а) дату на 24.08.2026;_x000a_2026-04-28 13:20:33: Екатерина изменил(-а) дату на 24.08.2026 - 24.08.2026;_x000a_2026-04-28 13:20:35: Екатерина изменил(-а) дату на 24.08.2026 - 27.08.2026;_x000a_2026-04-28 13:20:39: Екатерина изменил(-а) дату на 27.08.2026 - 27.08.2026;_x000a_2026-04-28 13:20:43: Екатерина изменил(-а) дату на 24.08.2026 - 27.08.2026;_x000a_2026-04-28 15:58:18: Екатерина добавил(-а) тег ШП;_x000a_2026-04-28 15:58:21: Екатерина добавил(-а) тег PRE;_x000a_2026-04-28 15:58:30: Екатерина убрал(-а) тег PRE;_x000a_2026-04-28 15:58:32: Екатерина добавил(-а) тег страт-п-с-26-09;_x000a_2026-04-30 10:32:08: Екатерина назначил(-а) Елена исполнителем"/>
    <x v="0"/>
    <x v="8"/>
    <x v="6"/>
  </r>
  <r>
    <n v="58"/>
    <s v="ЛИЧНО сентябрь 24.09.2026"/>
    <s v="Дивизион Конференции"/>
    <s v="К работе"/>
    <m/>
    <m/>
    <s v="Екатерина"/>
    <s v="1.17. Провести контроль план/факта по набору мероприятия"/>
    <s v="31.08.2026 03:00"/>
    <x v="19"/>
    <m/>
    <s v="Действие"/>
    <s v="Низкий"/>
    <s v="N"/>
    <m/>
    <s v="27.04.2026 13:14:33"/>
    <m/>
    <s v="Елена"/>
    <s v="Екатерина, Елена"/>
    <m/>
    <m/>
    <s v="N"/>
    <s v="N"/>
    <m/>
    <x v="21"/>
    <m/>
    <s v="2026-04-27 13:14:33: Екатерина создал(-а) задачу;_x000a_2026-04-27 14:36:56: Екатерина изменил(-а) название на 1.17. Провести контроль план/факта по набору мероприятия;_x000a_2026-04-27 15:01:14: Екатерина изменил(-а) дату на 04.09.2026;_x000a_2026-04-27 15:01:18: Екатерина добавил(-а) тег PRO;_x000a_2026-04-27 15:23:58: Екатерина назначил(-а) Екатерина исполнителем;_x000a_2026-04-28 13:20:56: Екатерина изменил(-а) дату на 31.08.2026;_x000a_2026-04-28 13:21:06: Екатерина изменил(-а) дату на 27.07.2026 - 31.08.2026;_x000a_2026-04-28 13:21:28: Екатерина изменил(-а) дату на 31.07.2026 - 31.08.2026;_x000a_2026-04-28 13:21:31: Екатерина изменил(-а) дату на 30.07.2026 - 31.08.2026;_x000a_2026-04-28 13:21:36: Екатерина изменил(-а) дату на 27.07.2026 - 31.08.2026;_x000a_2026-04-28 13:21:43: Екатерина изменил(-а) дату на 27.07.2026 - 30.07.2026;_x000a_2026-04-28 13:22:12: Екатерина изменил(-а) дату на 27.07.2026 - 31.08.2026;_x000a_2026-04-28 13:22:15: Екатерина изменил(-а) дату на 31.08.2026 - 31.08.2026;_x000a_2026-04-28 13:22:18: Екатерина изменил(-а) дату на 31.08.2026 - 03.09.2026;_x000a_2026-04-28 15:58:44: Екатерина добавил(-а) тег ШП;_x000a_2026-04-28 15:58:48: Екатерина добавил(-а) тег страт-п-с-26-09;_x000a_2026-04-30 10:32:12: Екатерина назначил(-а) Елена исполнителем"/>
    <x v="0"/>
    <x v="8"/>
    <x v="6"/>
  </r>
  <r>
    <n v="57"/>
    <s v="ЛИЧНО сентябрь 24.09.2026"/>
    <s v="Дивизион Конференции"/>
    <s v="К работе"/>
    <m/>
    <m/>
    <s v="Екатерина"/>
    <s v="1.18. Провеcти контрольное совещание по задачам проекта"/>
    <s v="07.09.2026 03:00"/>
    <x v="7"/>
    <m/>
    <s v="Действие"/>
    <s v="Низкий"/>
    <s v="N"/>
    <m/>
    <s v="27.04.2026 13:14:30"/>
    <m/>
    <s v="Елена"/>
    <s v="Екатерина, Елена"/>
    <m/>
    <m/>
    <s v="N"/>
    <s v="N"/>
    <m/>
    <x v="21"/>
    <m/>
    <s v="2026-04-27 13:14:30: Екатерина создал(-а) задачу;_x000a_2026-04-27 14:37:09: Екатерина изменил(-а) название на 1.18. Провеcти контрольное совещание по задачам проекта;_x000a_2026-04-27 14:37:18: Екатерина изменил(-а) название на 1.18.Провеcти контрольное совещание по задачам проекта;_x000a_2026-04-27 14:37:18: Екатерина изменил(-а) название на 1.18. Провеcти контрольное совещание по задачам проекта;_x000a_2026-04-27 15:01:20: Екатерина изменил(-а) дату на 02.05.2021;_x000a_2026-04-27 15:01:59: Екатерина убрал(-а) дату;_x000a_2026-04-27 15:02:47: Екатерина изменил(-а) дату на 11.09.2026;_x000a_2026-04-27 15:03:59: Екатерина добавил(-а) тег PRO;_x000a_2026-04-27 15:24:13: Екатерина назначил(-а) Екатерина исполнителем;_x000a_2026-04-28 13:22:32: Екатерина изменил(-а) дату на 07.09.2026 - 11.09.2026;_x000a_2026-04-28 13:22:33: Екатерина изменил(-а) дату на 10.09.2026 - 11.09.2026;_x000a_2026-04-28 13:22:39: Екатерина изменил(-а) дату на 07.09.2026 - 11.09.2026;_x000a_2026-04-28 13:22:41: Екатерина изменил(-а) дату на 07.09.2026 - 10.09.2026;_x000a_2026-04-28 15:58:55: Екатерина добавил(-а) тег ШП;_x000a_2026-04-28 15:58:59: Екатерина добавил(-а) тег страт-п-с-26-09;_x000a_2026-04-30 10:32:14: Екатерина назначил(-а) Елена исполнителем"/>
    <x v="0"/>
    <x v="8"/>
    <x v="6"/>
  </r>
  <r>
    <n v="56"/>
    <s v="ЛИЧНО сентябрь 24.09.2026"/>
    <s v="Дивизион Конференции"/>
    <s v="К работе"/>
    <m/>
    <m/>
    <s v="Екатерина"/>
    <s v="1.19. Провести контроль план/факта по набору мероприятия"/>
    <s v="07.09.2026 03:00"/>
    <x v="7"/>
    <m/>
    <s v="Действие"/>
    <s v="Низкий"/>
    <s v="N"/>
    <m/>
    <s v="27.04.2026 13:14:25"/>
    <m/>
    <s v="Елена"/>
    <s v="Екатерина, Елена"/>
    <m/>
    <m/>
    <s v="N"/>
    <s v="N"/>
    <m/>
    <x v="21"/>
    <m/>
    <s v="2026-04-27 13:14:25: Екатерина создал(-а) задачу;_x000a_2026-04-27 14:37:33: Екатерина изменил(-а) название на 1.19. Провести контроль план/факта по набору мероприятия;_x000a_2026-04-27 15:04:13: Екатерина изменил(-а) дату на 11.09.2026;_x000a_2026-04-27 15:04:17: Екатерина добавил(-а) тег PRO;_x000a_2026-04-27 15:24:16: Екатерина назначил(-а) Екатерина исполнителем;_x000a_2026-04-28 13:23:03: Екатерина изменил(-а) дату на 07.09.2026;_x000a_2026-04-28 13:23:09: Екатерина изменил(-а) дату на 10.09.2026;_x000a_2026-04-28 13:23:11: Екатерина изменил(-а) дату на 07.09.2026 - 10.09.2026;_x000a_2026-04-28 13:23:15: Екатерина изменил(-а) дату на 10.09.2026 - 10.09.2026;_x000a_2026-04-28 13:23:20: Екатерина изменил(-а) дату на 07.09.2026 - 10.09.2026;_x000a_2026-04-28 15:59:07: Екатерина добавил(-а) тег страт-п-с-26-09;_x000a_2026-04-28 15:59:10: Екатерина добавил(-а) тег ШП;_x000a_2026-04-30 10:32:16: Екатерина назначил(-а) Елена исполнителем;_x000a_2026-04-30 14:33:58: Екатерина убрал(-а) тег страт-п-с-26-09;_x000a_2026-04-30 14:34:01: Екатерина добавил(-а) тег страт-п-с-26-09"/>
    <x v="0"/>
    <x v="8"/>
    <x v="6"/>
  </r>
  <r>
    <n v="55"/>
    <s v="ЛИЧНО сентябрь 24.09.2026"/>
    <s v="Дивизион Конференции"/>
    <s v="К работе"/>
    <m/>
    <m/>
    <s v="Екатерина"/>
    <s v="1.20. Провести контрольное совещание по задачам проекта"/>
    <s v="07.09.2026 03:00"/>
    <x v="7"/>
    <m/>
    <s v="Действие"/>
    <s v="Низкий"/>
    <s v="N"/>
    <m/>
    <s v="27.04.2026 13:14:21"/>
    <m/>
    <s v="Елена"/>
    <s v="Екатерина, Елена"/>
    <m/>
    <m/>
    <s v="N"/>
    <s v="N"/>
    <m/>
    <x v="21"/>
    <m/>
    <s v="2026-04-27 13:14:21: Екатерина создал(-а) задачу;_x000a_2026-04-27 14:37:47: Екатерина изменил(-а) название на 1.20. Провести контрольное совещание по задачам проекта;_x000a_2026-04-27 15:04:28: Екатерина изменил(-а) дату на 11.09.2026;_x000a_2026-04-27 15:04:34: Екатерина добавил(-а) тег PRO;_x000a_2026-04-27 15:24:19: Екатерина назначил(-а) Екатерина исполнителем;_x000a_2026-04-27 15:32:46: Екатерина добавил(-а) тег финиш вехи Post;_x000a_2026-04-27 15:33:01: Екатерина убрал(-а) тег финиш вехи Post;_x000a_2026-04-28 15:16:47: Екатерина изменил(-а) дату на 07.09.2026;_x000a_2026-04-28 15:16:50: Екатерина изменил(-а) дату на 07.09.2026 - 07.09.2026;_x000a_2026-04-28 15:16:53: Екатерина изменил(-а) дату на 07.09.2026 - 10.09.2026;_x000a_2026-04-28 16:00:14: Екатерина добавил(-а) тег страт-п-с-26-09;_x000a_2026-04-28 16:00:16: Екатерина добавил(-а) тег ШП;_x000a_2026-04-30 10:32:19: Екатерина назначил(-а) Елена исполнителем;_x000a_2026-04-30 14:34:13: Екатерина убрал(-а) тег страт-п-с-26-09;_x000a_2026-04-30 14:34:16: Екатерина добавил(-а) тег страт-п-с-26-09"/>
    <x v="0"/>
    <x v="8"/>
    <x v="6"/>
  </r>
  <r>
    <n v="54"/>
    <s v="ЛИЧНО сентябрь 24.09.2026"/>
    <s v="Дивизион Конференции"/>
    <s v="К работе"/>
    <m/>
    <m/>
    <s v="Екатерина"/>
    <s v="1.21. Сделать сверку сметы с планом по расходам на максимальное соответствие бюджету"/>
    <s v="07.09.2026 03:00"/>
    <x v="22"/>
    <m/>
    <s v="Действие"/>
    <s v="Низкий"/>
    <s v="N"/>
    <m/>
    <s v="27.04.2026 13:14:17"/>
    <m/>
    <s v="Елена"/>
    <s v="Екатерина, Елена"/>
    <m/>
    <m/>
    <s v="N"/>
    <s v="N"/>
    <m/>
    <x v="21"/>
    <m/>
    <s v="2026-04-27 13:14:18: Екатерина создал(-а) задачу;_x000a_2026-04-27 14:38:01: Екатерина изменил(-а) название на 1.21. Сделать сверку сметы с планом по расходам на максимальное соответствие бюджету;_x000a_2026-04-27 15:04:52: Екатерина изменил(-а) дату на 11.09.2026;_x000a_2026-04-27 15:04:56: Екатерина добавил(-а) тег PRO;_x000a_2026-04-27 15:24:21: Екатерина назначил(-а) Екатерина исполнителем;_x000a_2026-04-28 16:00:25: Екатерина добавил(-а) тег ШП;_x000a_2026-04-28 16:00:27: Екатерина добавил(-а) тег страт-п-с-26-09;_x000a_2026-04-28 16:00:53: Екатерина изменил(-а) дату на 07.09.2026 - 11.09.2026;_x000a_2026-04-30 10:32:23: Екатерина назначил(-а) Елена исполнителем"/>
    <x v="0"/>
    <x v="8"/>
    <x v="6"/>
  </r>
  <r>
    <n v="53"/>
    <s v="ЛИЧНО сентябрь 24.09.2026"/>
    <s v="Дивизион Конференции"/>
    <s v="К работе"/>
    <m/>
    <m/>
    <s v="Екатерина"/>
    <s v="1.22. Инициировать приглашения ключевых партнеров/рекламодателей на событие"/>
    <s v="07.09.2026 03:00"/>
    <x v="22"/>
    <m/>
    <s v="Действие"/>
    <s v="Низкий"/>
    <s v="N"/>
    <m/>
    <s v="27.04.2026 13:14:14"/>
    <m/>
    <s v="Елена"/>
    <s v="Екатерина, Елена"/>
    <m/>
    <m/>
    <s v="N"/>
    <s v="N"/>
    <m/>
    <x v="21"/>
    <m/>
    <s v="2026-04-27 13:14:15: Екатерина создал(-а) задачу;_x000a_2026-04-27 14:38:14: Екатерина изменил(-а) название на 1.22. Инициировать приглашения ключевых партнеров/рекламодателей на событие;_x000a_2026-04-27 15:05:21: Екатерина изменил(-а) дату на 11.09.2026;_x000a_2026-04-27 15:05:27: Екатерина добавил(-а) тег PRO;_x000a_2026-04-27 15:24:25: Екатерина назначил(-а) Екатерина исполнителем;_x000a_2026-04-28 16:00:36: Екатерина добавил(-а) тег ШП;_x000a_2026-04-28 16:00:39: Екатерина добавил(-а) тег страт-п-с-26-09;_x000a_2026-04-28 16:01:05: Екатерина изменил(-а) дату на 07.09.2026;_x000a_2026-04-28 16:01:07: Екатерина изменил(-а) дату на 11.09.2026;_x000a_2026-04-28 16:01:10: Екатерина изменил(-а) дату на 07.09.2026 - 11.09.2026;_x000a_2026-04-28 16:01:13: Екатерина изменил(-а) дату на 11.09.2026 - 11.09.2026;_x000a_2026-04-28 16:01:19: Екатерина изменил(-а) дату на 07.09.2026 - 11.09.2026;_x000a_2026-04-28 16:01:26: Екатерина изменил(-а) дату на 11.09.2026 - 11.09.2026;_x000a_2026-04-28 16:01:30: Екатерина изменил(-а) дату на 07.09.2026 - 11.09.2026;_x000a_2026-04-30 10:32:26: Екатерина назначил(-а) Елена исполнителем"/>
    <x v="0"/>
    <x v="8"/>
    <x v="6"/>
  </r>
  <r>
    <n v="52"/>
    <s v="ЛИЧНО сентябрь 24.09.2026"/>
    <s v="Дивизион Конференции"/>
    <s v="К работе"/>
    <m/>
    <m/>
    <s v="Екатерина"/>
    <s v="1.23. Провести контроль план/факта по набору мероприятия"/>
    <s v="14.09.2026 03:00"/>
    <x v="6"/>
    <m/>
    <s v="Действие"/>
    <s v="Низкий"/>
    <s v="N"/>
    <m/>
    <s v="27.04.2026 13:14:11"/>
    <m/>
    <s v="Елена"/>
    <s v="Екатерина, Елена"/>
    <m/>
    <m/>
    <s v="N"/>
    <s v="N"/>
    <m/>
    <x v="21"/>
    <m/>
    <s v="2026-04-27 13:14:12: Екатерина создал(-а) задачу;_x000a_2026-04-27 14:38:25: Екатерина изменил(-а) название на 1.23. Провести контроль план/факта по набору мероприятия;_x000a_2026-04-27 15:06:07: Екатерина изменил(-а) дату на 18.09.2026;_x000a_2026-04-27 15:06:10: Екатерина добавил(-а) тег PRO;_x000a_2026-04-27 15:24:31: Екатерина назначил(-а) Екатерина исполнителем;_x000a_2026-04-28 16:01:52: Екатерина изменил(-а) дату на 14.09.2026 - 18.09.2026;_x000a_2026-04-28 16:01:55: Екатерина изменил(-а) дату на 17.09.2026 - 18.09.2026;_x000a_2026-04-28 16:01:56: Екатерина изменил(-а) дату на 14.09.2026 - 18.09.2026;_x000a_2026-04-28 16:01:59: Екатерина изменил(-а) дату на 17.09.2026 - 18.09.2026;_x000a_2026-04-28 16:02:02: Екатерина изменил(-а) дату на 14.09.2026 - 18.09.2026;_x000a_2026-04-28 16:02:03: Екатерина изменил(-а) дату на 17.09.2026 - 18.09.2026;_x000a_2026-04-28 16:02:07: Екатерина изменил(-а) дату на 14.09.2026 - 18.09.2026;_x000a_2026-04-28 16:02:09: Екатерина изменил(-а) дату на 18.09.2026;_x000a_2026-04-28 16:02:09: Екатерина изменил(-а) дату на 14.09.2026 - 18.09.2026;_x000a_2026-04-28 16:02:11: Екатерина изменил(-а) дату на 17.09.2026 - 18.09.2026;_x000a_2026-04-28 16:02:13: Екатерина изменил(-а) дату на 14.09.2026 - 18.09.2026;_x000a_2026-04-28 16:02:16: Екатерина изменил(-а) дату на 17.09.2026 - 18.09.2026;_x000a_2026-04-28 16:02:21: Екатерина изменил(-а) дату на 17.09.2026 - 17.09.2026;_x000a_2026-04-28 16:02:25: Екатерина изменил(-а) дату на 14.09.2026 - 17.09.2026;_x000a_2026-04-28 16:02:43: Екатерина добавил(-а) тег ШП;_x000a_2026-04-28 16:02:45: Екатерина добавил(-а) тег страт-п-с-26-09;_x000a_2026-04-30 10:32:28: Екатерина назначил(-а) Елена исполнителем"/>
    <x v="0"/>
    <x v="8"/>
    <x v="6"/>
  </r>
  <r>
    <n v="51"/>
    <s v="ЛИЧНО сентябрь 24.09.2026"/>
    <s v="Дивизион Конференции"/>
    <s v="К работе"/>
    <m/>
    <m/>
    <s v="Екатерина"/>
    <s v="1.24. Провести прогон и приемка события"/>
    <s v="14.09.2026 03:00"/>
    <x v="6"/>
    <m/>
    <s v="Действие"/>
    <s v="Низкий"/>
    <s v="N"/>
    <m/>
    <s v="27.04.2026 13:14:09"/>
    <m/>
    <s v="Елена"/>
    <s v="Екатерина, Елена"/>
    <m/>
    <m/>
    <s v="N"/>
    <s v="N"/>
    <m/>
    <x v="21"/>
    <m/>
    <s v="2026-04-27 13:14:09: Екатерина создал(-а) задачу;_x000a_2026-04-27 14:38:37: Екатерина изменил(-а) название на 1.24. Провести прогон и приемка события;_x000a_2026-04-27 15:06:17: Екатерина изменил(-а) дату на 18.09.2026;_x000a_2026-04-27 15:06:21: Екатерина добавил(-а) тег PRO;_x000a_2026-04-27 15:24:33: Екатерина назначил(-а) Екатерина исполнителем;_x000a_2026-04-28 16:03:16: Екатерина изменил(-а) дату на 14.09.2026;_x000a_2026-04-28 16:03:18: Екатерина изменил(-а) дату на 14.09.2026 - 14.09.2026;_x000a_2026-04-28 16:03:21: Екатерина изменил(-а) дату на 14.09.2026 - 17.09.2026;_x000a_2026-04-28 16:03:36: Екатерина добавил(-а) тег ШП;_x000a_2026-04-28 16:03:41: Екатерина добавил(-а) тег страт-п-с-26-09;_x000a_2026-04-30 10:32:31: Екатерина назначил(-а) Елена исполнителем"/>
    <x v="0"/>
    <x v="8"/>
    <x v="6"/>
  </r>
  <r>
    <n v="50"/>
    <s v="ЛИЧНО сентябрь 24.09.2026"/>
    <s v="Дивизион Конференции"/>
    <s v="К работе"/>
    <m/>
    <m/>
    <s v="Екатерина"/>
    <s v="1.25. Провести продактплейсмент будущих событий на мероприятии"/>
    <s v="14.09.2026 03:00"/>
    <x v="6"/>
    <m/>
    <s v="Действие"/>
    <s v="Низкий"/>
    <s v="N"/>
    <m/>
    <s v="27.04.2026 13:14:06"/>
    <m/>
    <s v="Елена"/>
    <s v="Екатерина, Елена"/>
    <m/>
    <m/>
    <s v="N"/>
    <s v="N"/>
    <m/>
    <x v="21"/>
    <m/>
    <s v="2026-04-27 13:14:06: Екатерина создал(-а) задачу;_x000a_2026-04-27 13:16:00: Екатерина добавил(-а) подзадачу #37 1.02. Провести Первичное совещание и заполнить итоги в карточке проекта в СRM;_x000a_2026-04-27 13:16:05: Екатерина убрал(-а) подзадачу #37 1.02. Провести Первичное совещание и заполнить итоги в карточке проекта в СRM;_x000a_2026-04-27 14:38:49: Екатерина изменил(-а) название на 1.25. Провести продактплейсмент будущих событий на мероприятии;_x000a_2026-04-27 15:06:32: Екатерина изменил(-а) дату на 18.09.2026;_x000a_2026-04-27 15:06:38: Екатерина добавил(-а) тег PRO;_x000a_2026-04-27 15:24:37: Екатерина назначил(-а) Екатерина исполнителем;_x000a_2026-04-28 16:03:51: Екатерина изменил(-а) дату на 14.09.2026;_x000a_2026-04-28 16:03:52: Екатерина изменил(-а) дату на 14.09.2026 - 14.09.2026;_x000a_2026-04-28 16:03:53: Екатерина изменил(-а) дату на 14.09.2026 - 17.09.2026;_x000a_2026-04-28 16:04:03: Екатерина добавил(-а) тег ШП;_x000a_2026-04-28 16:04:07: Екатерина добавил(-а) тег страт-п-с-26-09;_x000a_2026-04-30 10:32:34: Екатерина назначил(-а) Елена исполнителем"/>
    <x v="0"/>
    <x v="8"/>
    <x v="6"/>
  </r>
  <r>
    <n v="48"/>
    <s v="ЛИЧНО сентябрь 24.09.2026"/>
    <s v="Дивизион Конференции"/>
    <s v="К работе"/>
    <m/>
    <m/>
    <s v="Екатерина"/>
    <s v="1.26. Проверить заготовку пост-релиза и поста, освещающего мероприятие"/>
    <s v="14.09.2026 03:00"/>
    <x v="6"/>
    <m/>
    <s v="Действие"/>
    <s v="Низкий"/>
    <s v="N"/>
    <m/>
    <s v="27.04.2026 13:14:04"/>
    <m/>
    <s v="Елена"/>
    <s v="Екатерина, Елена"/>
    <m/>
    <m/>
    <s v="N"/>
    <s v="N"/>
    <m/>
    <x v="21"/>
    <m/>
    <s v="2026-04-27 13:14:04: Екатерина создал(-а) задачу;_x000a_2026-04-27 14:39:05: Екатерина изменил(-а) название на 1.26. Проверить заготовку пост-релиза и поста, освещающего мероприятие;_x000a_2026-04-27 15:06:45: Екатерина изменил(-а) дату на 18.09.2026;_x000a_2026-04-27 15:06:47: Екатерина добавил(-а) тег PRO;_x000a_2026-04-27 15:24:42: Екатерина назначил(-а) Екатерина исполнителем;_x000a_2026-04-28 16:05:37: Екатерина добавил(-а) тег ШП;_x000a_2026-04-28 16:05:39: Екатерина добавил(-а) тег страт-п-с-26-09;_x000a_2026-04-28 16:05:44: Екатерина изменил(-а) дату на 14.09.2026 - 18.09.2026;_x000a_2026-04-28 16:05:45: Екатерина изменил(-а) дату на 17.09.2026 - 18.09.2026;_x000a_2026-04-28 16:05:50: Екатерина изменил(-а) дату на 14.09.2026 - 18.09.2026;_x000a_2026-04-28 16:05:55: Екатерина изменил(-а) дату на 14.09.2026 - 17.09.2026;_x000a_2026-04-30 10:32:37: Екатерина назначил(-а) Елена исполнителем"/>
    <x v="0"/>
    <x v="8"/>
    <x v="6"/>
  </r>
  <r>
    <n v="49"/>
    <s v="ЛИЧНО сентябрь 24.09.2026"/>
    <s v="Дивизион Конференции"/>
    <s v="К работе"/>
    <m/>
    <m/>
    <s v="Екатерина"/>
    <s v="1.27. Проверить и сохранить в чате события статистику мероприятия, которой КВК делится со всеми - с заказчиками, с площадкой, со СМИ"/>
    <s v="14.09.2026 03:00"/>
    <x v="6"/>
    <m/>
    <s v="Действие"/>
    <s v="Низкий"/>
    <s v="N"/>
    <m/>
    <s v="27.04.2026 13:14:04"/>
    <m/>
    <s v="Елена"/>
    <s v="Екатерина, Елена"/>
    <m/>
    <m/>
    <s v="N"/>
    <s v="N"/>
    <m/>
    <x v="21"/>
    <m/>
    <s v="2026-04-27 13:14:04: Екатерина создал(-а) задачу;_x000a_2026-04-27 14:39:18: Екатерина изменил(-а) название на 1.27. Проверить и сохранить в чате события статистику мероприятия, которой КВК делится со всеми - с заказчиками, с площадкой, со СМИ;_x000a_2026-04-27 15:07:06: Екатерина изменил(-а) дату на 18.09.2026;_x000a_2026-04-27 15:07:09: Екатерина добавил(-а) тег PRO;_x000a_2026-04-27 15:24:39: Екатерина назначил(-а) Екатерина исполнителем;_x000a_2026-04-28 16:04:22: Екатерина добавил(-а) тег ШП;_x000a_2026-04-28 16:04:22: Екатерина добавил(-а) тег страт-п-с-26-09;_x000a_2026-04-28 16:04:28: Екатерина изменил(-а) дату на 14.09.2026;_x000a_2026-04-28 16:04:28: Екатерина изменил(-а) дату на 17.09.2026;_x000a_2026-04-28 16:04:31: Екатерина изменил(-а) дату на 14.09.2026;_x000a_2026-04-28 16:04:32: Екатерина изменил(-а) дату на 14.09.2026 - 14.09.2026;_x000a_2026-04-28 16:04:33: Екатерина изменил(-а) дату на 14.09.2026 - 17.09.2026;_x000a_2026-04-28 16:04:38: Екатерина изменил(-а) дату на 17.09.2026 - 17.09.2026;_x000a_2026-04-28 16:04:53: Екатерина изменил(-а) дату на 14.09.2026 - 17.09.2026;_x000a_2026-04-28 16:04:55: Екатерина изменил(-а) дату на 17.09.2026 - 17.09.2026;_x000a_2026-04-28 16:05:00: Екатерина изменил(-а) дату на 14.09.2026 - 17.09.2026;_x000a_2026-04-28 16:05:05: Екатерина изменил(-а) дату на 17.09.2026 - 17.09.2026;_x000a_2026-04-28 16:05:10: Екатерина изменил(-а) дату на 14.09.2026 - 17.09.2026;_x000a_2026-04-30 10:32:40: Екатерина назначил(-а) Елена исполнителем"/>
    <x v="0"/>
    <x v="8"/>
    <x v="6"/>
  </r>
  <r>
    <n v="47"/>
    <s v="ЛИЧНО сентябрь 24.09.2026"/>
    <s v="Дивизион Конференции"/>
    <s v="К работе"/>
    <m/>
    <m/>
    <s v="Екатерина"/>
    <s v="1.28. Провести контроль мероприятия"/>
    <s v="24.09.2026 03:00"/>
    <x v="4"/>
    <m/>
    <s v="Действие"/>
    <s v="Низкий"/>
    <s v="N"/>
    <m/>
    <s v="27.04.2026 13:13:36"/>
    <m/>
    <s v="Елена"/>
    <s v="Екатерина, Елена"/>
    <m/>
    <m/>
    <s v="N"/>
    <s v="N"/>
    <m/>
    <x v="22"/>
    <m/>
    <s v="2026-04-27 13:13:37: Екатерина создал(-а) задачу;_x000a_2026-04-27 14:43:45: Екатерина изменил(-а) дату на 25.09.2026;_x000a_2026-04-27 14:43:57: Екатерина добавил(-а) тег D;_x000a_2026-04-27 14:44:48: Екатерина изменил(-а) дату на 24.09.2026;_x000a_2026-04-27 15:24:48: Екатерина назначил(-а) Екатерина исполнителем;_x000a_2026-04-28 16:06:14: Екатерина добавил(-а) тег ШП;_x000a_2026-04-28 16:06:18: Екатерина добавил(-а) тег страт-п-с-26-09;_x000a_2026-04-28 16:06:18: Екатерина добавил(-а) тег Старт вехи Pre;_x000a_2026-04-28 16:06:24: Екатерина изменил(-а) дату на 21.09.2026 - 24.09.2026;_x000a_2026-04-28 16:06:25: Екатерина изменил(-а) дату на 24.09.2026 - 24.09.2026;_x000a_2026-04-28 16:35:01: Екатерина убрал(-а) тег Старт вехи Pre;_x000a_2026-04-30 10:32:43: Екатерина назначил(-а) Елена исполнителем"/>
    <x v="0"/>
    <x v="8"/>
    <x v="6"/>
  </r>
  <r>
    <n v="46"/>
    <s v="ЛИЧНО сентябрь 24.09.2026"/>
    <s v="Дивизион Конференции"/>
    <s v="К работе"/>
    <m/>
    <m/>
    <s v="Екатерина"/>
    <s v="1.29.  Поддержать контакт с ключевыми контрагентами: спикерами/заказчиками/площадкой"/>
    <m/>
    <x v="4"/>
    <m/>
    <s v="Действие"/>
    <s v="Низкий"/>
    <s v="N"/>
    <m/>
    <s v="27.04.2026 13:13:01"/>
    <m/>
    <s v="Елена"/>
    <s v="Екатерина, Елена"/>
    <m/>
    <m/>
    <s v="N"/>
    <s v="N"/>
    <m/>
    <x v="22"/>
    <m/>
    <s v="2026-04-27 13:13:01: Екатерина создал(-а) задачу;_x000a_2026-04-27 14:45:07: Екатерина изменил(-а) дату на 24.09.2026;_x000a_2026-04-27 14:45:14: Екатерина добавил(-а) тег D;_x000a_2026-04-27 15:24:53: Екатерина назначил(-а) Екатерина исполнителем;_x000a_2026-04-28 19:34:18: Екатерина добавил(-а) тег ШП;_x000a_2026-04-28 19:34:21: Екатерина добавил(-а) тег страт-п-с-26-09;_x000a_2026-04-30 10:32:50: Екатерина назначил(-а) Елена исполнителем"/>
    <x v="0"/>
    <x v="8"/>
    <x v="6"/>
  </r>
  <r>
    <n v="45"/>
    <s v="ЛИЧНО сентябрь 24.09.2026"/>
    <s v="Дивизион Конференции"/>
    <s v="К работе"/>
    <m/>
    <m/>
    <s v="Екатерина"/>
    <s v="1.30. Провести Итоговое совещание"/>
    <s v="28.09.2026 03:00"/>
    <x v="0"/>
    <m/>
    <s v="Действие"/>
    <s v="Низкий"/>
    <s v="N"/>
    <m/>
    <s v="27.04.2026 13:12:31"/>
    <m/>
    <s v="Елена"/>
    <s v="Екатерина, Елена"/>
    <m/>
    <m/>
    <s v="N"/>
    <s v="N"/>
    <m/>
    <x v="23"/>
    <m/>
    <s v="2026-04-27 13:12:32: Екатерина создал(-а) задачу;_x000a_2026-04-27 14:40:23: Екатерина изменил(-а) дату на 02.10.2026;_x000a_2026-04-27 14:40:32: Екатерина добавил(-а) тег POST;_x000a_2026-04-27 15:25:02: Екатерина назначил(-а) Екатерина исполнителем;_x000a_2026-04-28 19:29:38: Екатерина изменил(-а) дату на 28.09.2026;_x000a_2026-04-28 19:29:40: Екатерина изменил(-а) дату на 01.10.2026;_x000a_2026-04-28 19:29:49: Екатерина изменил(-а) дату на 28.09.2026 - 01.10.2026;_x000a_2026-04-28 19:34:27: Екатерина добавил(-а) тег ШП;_x000a_2026-04-28 19:34:30: Екатерина добавил(-а) тег страт-п-с-26-09;_x000a_2026-04-30 10:32:55: Екатерина назначил(-а) Елена исполнителем"/>
    <x v="0"/>
    <x v="8"/>
    <x v="6"/>
  </r>
  <r>
    <n v="44"/>
    <s v="ЛИЧНО сентябрь 24.09.2026"/>
    <s v="Дивизион Конференции"/>
    <s v="К работе"/>
    <m/>
    <m/>
    <s v="Екатерина"/>
    <s v="1.31. Согласовать пост-релиз"/>
    <s v="28.09.2026 03:00"/>
    <x v="0"/>
    <m/>
    <s v="Действие"/>
    <s v="Низкий"/>
    <s v="N"/>
    <m/>
    <s v="27.04.2026 13:11:24"/>
    <m/>
    <s v="Елена"/>
    <s v="Екатерина, Елена"/>
    <m/>
    <m/>
    <s v="N"/>
    <s v="N"/>
    <m/>
    <x v="23"/>
    <m/>
    <s v="2026-04-27 13:11:24: Екатерина создал(-а) задачу;_x000a_2026-04-27 13:12:09: Екатерина изменил(-а) название на 1.31. Согласовать пост-релиз;_x000a_2026-04-27 14:40:44: Екатерина изменил(-а) дату на 30.10.2026;_x000a_2026-04-27 14:40:49: Екатерина добавил(-а) тег POST;_x000a_2026-04-27 14:41:34: Екатерина изменил(-а) дату на 02.10.2026;_x000a_2026-04-27 15:25:05: Екатерина назначил(-а) Екатерина исполнителем;_x000a_2026-04-28 19:30:13: Екатерина изменил(-а) дату на 28.09.2026;_x000a_2026-04-28 19:30:18: Екатерина изменил(-а) дату на 28.09.2026 - 28.09.2026;_x000a_2026-04-28 19:30:19: Екатерина изменил(-а) дату на 28.09.2026 - 01.10.2026;_x000a_2026-04-28 19:34:35: Екатерина добавил(-а) тег ШП;_x000a_2026-04-28 19:34:40: Екатерина добавил(-а) тег страт-п-с-26-09;_x000a_2026-04-30 10:33:05: Екатерина назначил(-а) Елена исполнителем"/>
    <x v="0"/>
    <x v="8"/>
    <x v="6"/>
  </r>
  <r>
    <n v="43"/>
    <s v="ЛИЧНО сентябрь 24.09.2026"/>
    <s v="Дивизион Конференции"/>
    <s v="К работе"/>
    <m/>
    <m/>
    <s v="Екатерина"/>
    <s v="1.32. Согласовать отчет для Заказчика"/>
    <s v="28.09.2026 03:00"/>
    <x v="0"/>
    <m/>
    <s v="Действие"/>
    <s v="Низкий"/>
    <s v="N"/>
    <m/>
    <s v="27.04.2026 13:11:16"/>
    <m/>
    <s v="Елена"/>
    <s v="Екатерина, Елена"/>
    <m/>
    <m/>
    <s v="N"/>
    <s v="N"/>
    <m/>
    <x v="23"/>
    <m/>
    <s v="2026-04-27 13:11:17: Екатерина создал(-а) задачу;_x000a_2026-04-27 13:11:42: Екатерина изменил(-а) название на 1.32. Согласовать отчет для Заказчика;_x000a_2026-04-27 13:11:45: Екатерина изменил(-а) название на 1.32.Согласовать отчет для Заказчика;_x000a_2026-04-27 13:11:47: Екатерина изменил(-а) название на 1.32. Согласовать отчет для Заказчика;_x000a_2026-04-27 14:41:06: Екатерина изменил(-а) дату на 30.10.2026;_x000a_2026-04-27 14:41:21: Екатерина изменил(-а) дату на 02.10.2026;_x000a_2026-04-27 14:41:39: Екатерина добавил(-а) тег POST;_x000a_2026-04-27 15:25:07: Екатерина назначил(-а) Екатерина исполнителем;_x000a_2026-04-28 19:30:32: Екатерина изменил(-а) дату на 28.09.2026;_x000a_2026-04-28 19:30:34: Екатерина изменил(-а) дату на 01.10.2026;_x000a_2026-04-28 19:30:35: Екатерина изменил(-а) дату на 28.09.2026;_x000a_2026-04-28 19:30:37: Екатерина изменил(-а) дату на 28.09.2026 - 28.09.2026;_x000a_2026-04-28 19:30:40: Екатерина изменил(-а) дату на 28.09.2026 - 01.10.2026;_x000a_2026-04-28 19:34:48: Екатерина добавил(-а) тег ШП;_x000a_2026-04-28 19:34:54: Екатерина добавил(-а) тег страт-п-с-26-09;_x000a_2026-04-30 10:33:14: Екатерина назначил(-а) Елена исполнителем"/>
    <x v="0"/>
    <x v="8"/>
    <x v="6"/>
  </r>
  <r>
    <n v="42"/>
    <s v="ЛИЧНО сентябрь 24.09.2026"/>
    <s v="Дивизион Конференции"/>
    <s v="К работе"/>
    <m/>
    <m/>
    <s v="Екатерина"/>
    <s v="1.33. Получить закрывающие документы по договору заказчика"/>
    <s v="28.09.2026 03:00"/>
    <x v="0"/>
    <m/>
    <s v="Действие"/>
    <s v="Низкий"/>
    <s v="N"/>
    <m/>
    <s v="27.04.2026 13:10:54"/>
    <m/>
    <s v="Елена"/>
    <s v="Екатерина, Елена"/>
    <m/>
    <m/>
    <s v="N"/>
    <s v="N"/>
    <m/>
    <x v="23"/>
    <m/>
    <s v="2026-04-27 13:10:55: Екатерина создал(-а) задачу;_x000a_2026-04-27 13:11:05: Екатерина изменил(-а) название на 1/Получить закрывающие документы по договору заказчика;_x000a_2026-04-27 13:11:06: Екатерина изменил(-а) название на 1.Получить закрывающие документы по договору заказчика;_x000a_2026-04-27 13:11:09: Екатерина изменил(-а) название на 1.33.Получить закрывающие документы по договору заказчика;_x000a_2026-04-27 13:11:10: Екатерина изменил(-а) название на 1.33. Получить закрывающие документы по договору заказчика;_x000a_2026-04-27 14:41:50: Екатерина изменил(-а) дату на 02.10.2026;_x000a_2026-04-27 14:41:53: Екатерина добавил(-а) тег POST;_x000a_2026-04-27 15:25:10: Екатерина назначил(-а) Екатерина исполнителем;_x000a_2026-04-28 19:30:47: Екатерина изменил(-а) дату на 28.09.2026;_x000a_2026-04-28 19:30:50: Екатерина изменил(-а) дату на 01.10.2026;_x000a_2026-04-28 19:30:52: Екатерина изменил(-а) дату на 28.09.2026;_x000a_2026-04-28 19:30:54: Екатерина изменил(-а) дату на 01.10.2026;_x000a_2026-04-28 19:30:56: Екатерина изменил(-а) дату на 28.09.2026;_x000a_2026-04-28 19:30:59: Екатерина изменил(-а) дату на 28.09.2026 - 28.09.2026;_x000a_2026-04-28 19:31:00: Екатерина изменил(-а) дату на 28.09.2026 - 01.10.2026;_x000a_2026-04-28 19:35:01: Екатерина добавил(-а) тег ШП;_x000a_2026-04-28 19:35:04: Екатерина добавил(-а) тег страт-п-с-26-09;_x000a_2026-04-30 10:33:18: Екатерина назначил(-а) Елена исполнителем"/>
    <x v="0"/>
    <x v="8"/>
    <x v="6"/>
  </r>
  <r>
    <n v="41"/>
    <s v="ЛИЧНО сентябрь 24.09.2026"/>
    <s v="Дивизион Конференции"/>
    <s v="К работе"/>
    <m/>
    <m/>
    <s v="Екатерина"/>
    <s v="1.34.Получить оплату"/>
    <s v="28.09.2026 03:00"/>
    <x v="0"/>
    <m/>
    <s v="Действие"/>
    <s v="Низкий"/>
    <s v="N"/>
    <m/>
    <s v="27.04.2026 12:46:27"/>
    <m/>
    <s v="Елена"/>
    <s v="Екатерина, Елена"/>
    <m/>
    <m/>
    <s v="N"/>
    <s v="N"/>
    <m/>
    <x v="23"/>
    <m/>
    <s v="2026-04-27 12:46:28: Екатерина создал(-а) задачу;_x000a_2026-04-27 14:42:02: Екатерина изменил(-а) дату на 02.10.2026;_x000a_2026-04-27 14:42:07: Екатерина добавил(-а) тег POST;_x000a_2026-04-27 15:25:11: Екатерина назначил(-а) Екатерина исполнителем;_x000a_2026-04-28 19:31:05: Екатерина изменил(-а) дату на 28.09.2026;_x000a_2026-04-28 19:31:07: Екатерина изменил(-а) дату на 01.10.2026;_x000a_2026-04-28 19:31:11: Екатерина изменил(-а) дату на 28.09.2026 - 01.10.2026;_x000a_2026-04-28 19:31:13: Екатерина изменил(-а) дату на 01.10.2026 - 01.10.2026;_x000a_2026-04-28 19:31:17: Екатерина изменил(-а) дату на 28.09.2026 - 01.10.2026;_x000a_2026-04-28 19:31:23: Екатерина изменил(-а) дату на 01.10.2026 - 01.10.2026;_x000a_2026-04-28 19:31:28: Екатерина изменил(-а) дату на 28.09.2026 - 01.10.2026;_x000a_2026-04-28 19:31:30: Екатерина изменил(-а) дату на 01.10.2026 - 01.10.2026;_x000a_2026-04-28 19:31:34: Екатерина изменил(-а) дату на 28.09.2026 - 01.10.2026;_x000a_2026-04-28 19:31:37: Екатерина изменил(-а) дату на 01.10.2026 - 01.10.2026;_x000a_2026-04-28 19:31:38: Екатерина изменил(-а) дату на 28.09.2026 - 01.10.2026;_x000a_2026-04-28 19:35:09: Екатерина добавил(-а) тег ШП;_x000a_2026-04-28 19:35:14: Екатерина добавил(-а) тег страт-п-с-26-09;_x000a_2026-04-30 10:33:23: Екатерина назначил(-а) Елена исполнителем"/>
    <x v="0"/>
    <x v="8"/>
    <x v="6"/>
  </r>
  <r>
    <n v="40"/>
    <s v="ЛИЧНО сентябрь 24.09.2026"/>
    <s v="Дивизион Конференции"/>
    <s v="К работе"/>
    <m/>
    <m/>
    <s v="Екатерина"/>
    <s v="1.35. Данные сохранить в карточке события в CRM"/>
    <s v="28.09.2026 03:00"/>
    <x v="0"/>
    <m/>
    <s v="Действие"/>
    <s v="Низкий"/>
    <s v="N"/>
    <m/>
    <s v="27.04.2026 12:44:18"/>
    <m/>
    <s v="Елена"/>
    <s v="Екатерина, Елена"/>
    <m/>
    <m/>
    <s v="N"/>
    <s v="N"/>
    <m/>
    <x v="23"/>
    <m/>
    <s v="2026-04-27 12:44:19: Екатерина создал(-а) задачу;_x000a_2026-04-27 12:44:29: Екатерина изменил(-а) название на 1.35.Данные сохранить в карточке события в CRM;_x000a_2026-04-27 12:44:30: Екатерина изменил(-а) название на 1.35. Данные сохранить в карточке события в CRM;_x000a_2026-04-27 14:42:14: Екатерина добавил(-а) тег POST;_x000a_2026-04-27 14:42:21: Екатерина изменил(-а) дату на 02.10.2026;_x000a_2026-04-27 15:24:47: Екатерина назначил(-а) Екатерина исполнителем;_x000a_2026-04-27 15:33:07: Екатерина добавил(-а) тег финиш вехи Post;_x000a_2026-04-28 16:34:53: Екатерина убрал(-а) тег финиш вехи Post;_x000a_2026-04-28 19:31:48: Екатерина изменил(-а) дату на 28.09.2026;_x000a_2026-04-28 19:31:49: Екатерина изменил(-а) дату на 01.10.2026;_x000a_2026-04-28 19:31:50: Екатерина изменил(-а) дату на 28.09.2026;_x000a_2026-04-28 19:31:53: Екатерина изменил(-а) дату на 28.09.2026 - 01.10.2026;_x000a_2026-04-28 19:35:21: Екатерина добавил(-а) тег ШП;_x000a_2026-04-28 19:35:24: Екатерина добавил(-а) тег страт-п-с-26-09;_x000a_2026-04-30 10:33:24: Екатерина назначил(-а) Елена исполнителем"/>
    <x v="0"/>
    <x v="8"/>
    <x v="6"/>
  </r>
  <r>
    <n v="38"/>
    <s v="ЛИЧНО сентябрь 24.09.2026"/>
    <s v="Дивизион Конференции"/>
    <s v="К работе"/>
    <m/>
    <m/>
    <s v="Екатерина"/>
    <s v="1.03. Произвести приемку Тизера"/>
    <s v="25.05.2026 03:00"/>
    <x v="23"/>
    <m/>
    <s v="Действие"/>
    <s v="Низкий"/>
    <s v="N"/>
    <m/>
    <s v="27.04.2026 11:46:01"/>
    <m/>
    <s v="Елена"/>
    <s v="Екатерина, Елена"/>
    <m/>
    <m/>
    <s v="N"/>
    <s v="N"/>
    <m/>
    <x v="20"/>
    <m/>
    <s v="2026-04-27 11:46:02: Екатерина создал(-а) задачу;_x000a_2026-04-27 11:46:43: Екатерина изменил(-а) дату на 18.05.2026;_x000a_2026-04-27 11:51:01: Екатерина изменил(-а) дату на 29.05.2026;_x000a_2026-04-27 11:57:38: Екатерина добавил(-а) тег PRE;_x000a_2026-04-27 13:15:45: Екатерина изменил(-а) родительскую задачу на #73 1.04. Провести контрольное совещание по задачам проекта;_x000a_2026-04-27 13:15:46: Екатерина убрал(-а) родительскую задачу;_x000a_2026-04-27 13:15:51: Екатерина изменил(-а) название на 1.03. Произвести приемку Тизера;_x000a_2026-04-27 15:22:36: Екатерина назначил(-а) Екатерина исполнителем;_x000a_2026-04-28 13:15:09: Екатерина изменил(-а) дату на 25.05.2026;_x000a_2026-04-28 13:15:11: Екатерина изменил(-а) дату на 29.05.2026;_x000a_2026-04-28 13:15:14: Екатерина изменил(-а) дату на 25.05.2026 - 29.05.2026;_x000a_2026-04-28 13:15:17: Екатерина изменил(-а) дату на 29.05.2026 - 29.05.2026;_x000a_2026-04-28 13:15:25: Екатерина изменил(-а) дату на 25.05.2026 - 29.05.2026;_x000a_2026-04-28 13:15:28: Екатерина изменил(-а) дату на 29.05.2026 - 29.05.2026;_x000a_2026-04-28 13:15:32: Екатерина изменил(-а) дату на 25.05.2026 - 29.05.2026;_x000a_2026-04-28 15:51:03: Екатерина добавил(-а) тег страт-п-с-26-09;_x000a_2026-04-28 15:51:06: Екатерина добавил(-а) тег ШП;_x000a_2026-04-30 10:31:16: Екатерина назначил(-а) Елена исполнителем;_x000a_2026-04-30 14:31:43: Екатерина убрал(-а) тег страт-п-с-26-09;_x000a_2026-04-30 14:31:46: Екатерина добавил(-а) тег страт-п-с-26-09"/>
    <x v="0"/>
    <x v="8"/>
    <x v="6"/>
  </r>
  <r>
    <n v="37"/>
    <s v="ЛИЧНО сентябрь 24.09.2026"/>
    <s v="Дивизион Конференции"/>
    <s v="К работе"/>
    <m/>
    <m/>
    <s v="Екатерина"/>
    <s v="1.02. Провести Первичное совещание и заполнить итоги в карточке проекта в СRM"/>
    <s v="18.05.2026 03:00"/>
    <x v="3"/>
    <m/>
    <s v="Действие"/>
    <s v="Низкий"/>
    <s v="N"/>
    <m/>
    <s v="27.04.2026 11:45:38"/>
    <m/>
    <s v="Елена"/>
    <s v="Екатерина, Елена"/>
    <m/>
    <m/>
    <s v="N"/>
    <s v="N"/>
    <m/>
    <x v="20"/>
    <m/>
    <s v="2026-04-27 11:45:39: Екатерина создал(-а) задачу;_x000a_2026-04-27 11:50:39: Екатерина изменил(-а) дату на 22.04.2026;_x000a_2026-04-27 11:50:49: Екатерина изменил(-а) дату на 22.05.2026;_x000a_2026-04-27 13:16:00: Екатерина изменил(-а) родительскую задачу на #50 1.25. Провести продактплейсмент будущих событий на мероприятии;_x000a_2026-04-27 13:16:05: Екатерина убрал(-а) родительскую задачу;_x000a_2026-04-27 13:16:15: Екатерина изменил(-а) название на 1.02. Провести Первичное совещание и заполнены итоги в карточке проекта в СRM;_x000a_2026-04-27 13:26:26: Екатерина добавил(-а) тег PRE;_x000a_2026-04-27 14:52:05: Екатерина изменил(-а) дату на 19.05.2026;_x000a_2026-04-27 15:22:28: Екатерина назначил(-а) Екатерина исполнителем;_x000a_2026-04-27 15:30:46: Екатерина добавил(-а) тег Старт вехи Pre;_x000a_2026-04-28 13:14:52: Екатерина изменил(-а) дату на 18.05.2026;_x000a_2026-04-28 13:14:52: Екатерина изменил(-а) дату на 19.05.2026;_x000a_2026-04-28 13:14:56: Екатерина изменил(-а) дату на 18.05.2026 - 19.05.2026;_x000a_2026-04-28 15:47:00: Екатерина убрал(-а) тег Старт вехи Pre;_x000a_2026-04-28 15:47:23: Екатерина изменил(-а) название на 1.02. Провести Первичное совещание и заполнить итоги в карточке проекта в СRM;_x000a_2026-04-28 15:50:53: Екатерина добавил(-а) тег страт-п-с-26-09;_x000a_2026-04-28 15:50:55: Екатерина добавил(-а) тег ШП;_x000a_2026-04-30 10:31:11: Екатерина назначил(-а) Елена исполнителем;_x000a_2026-04-30 14:31:35: Екатерина убрал(-а) тег страт-п-с-26-09;_x000a_2026-04-30 14:31:38: Екатерина добавил(-а) тег страт-п-с-26-09"/>
    <x v="0"/>
    <x v="8"/>
    <x v="6"/>
  </r>
  <r>
    <n v="36"/>
    <s v="ЛИЧНО сентябрь 24.09.2026"/>
    <s v="Дивизион Конференции"/>
    <s v="К работе"/>
    <m/>
    <m/>
    <s v="Екатерина"/>
    <s v="1.01. Сформировать Рабочую группу и заполнить карточку проекта в CRM"/>
    <s v="18.05.2026 03:00"/>
    <x v="3"/>
    <m/>
    <s v="Действие"/>
    <s v="Низкий"/>
    <s v="N"/>
    <m/>
    <s v="27.04.2026 11:45:17"/>
    <m/>
    <s v="Елена"/>
    <s v="Екатерина, Елена"/>
    <m/>
    <m/>
    <s v="N"/>
    <s v="N"/>
    <m/>
    <x v="20"/>
    <m/>
    <s v="2026-04-27 11:45:17: Екатерина создал(-а) задачу;_x000a_2026-04-27 11:50:30: Екатерина изменил(-а) дату на 22.05.2026;_x000a_2026-04-27 13:16:39: Екатерина изменил(-а) название на 1.01. Сформировать Рабочую группу и заполнить карточку проекта в CRM;_x000a_2026-04-27 13:26:34: Екатерина добавил(-а) тег PRE;_x000a_2026-04-27 14:51:58: Екатерина изменил(-а) дату на 18.05.2026;_x000a_2026-04-27 14:55:54: Екатерина изменил(-а) дату на 19.05.2026;_x000a_2026-04-27 14:55:54: Екатерина изменил(-а) дату на 20.05.2026;_x000a_2026-04-27 14:55:54: Екатерина изменил(-а) дату на 18.05.2026;_x000a_2026-04-27 14:56:25: Екатерина изменил(-а) дату на 19.05.2026;_x000a_2026-04-27 14:56:25: Екатерина изменил(-а) дату на 20.05.2026;_x000a_2026-04-27 14:56:26: Екатерина изменил(-а) дату на 21.05.2026;_x000a_2026-04-27 14:56:34: Екатерина изменил(-а) дату на 18.05.2026;_x000a_2026-04-27 14:56:34: Екатерина изменил(-а) дату на 19.05.2026;_x000a_2026-04-27 14:56:38: Екатерина изменил(-а) дату на 18.05.2026;_x000a_2026-04-27 14:56:43: Екатерина изменил(-а) дату на 22.05.2026;_x000a_2026-04-27 14:56:44: Екатерина изменил(-а) дату на 18.05.2026;_x000a_2026-04-27 14:56:47: Екатерина изменил(-а) дату на 21.05.2026;_x000a_2026-04-27 15:22:23: Екатерина назначил(-а) Екатерина исполнителем;_x000a_2026-04-28 12:10:30: Екатерина изменил(-а) дату на 21.05.2026 - 21.05.2026;_x000a_2026-04-28 12:10:36: Екатерина изменил(-а) дату на 18.05.2026 - 21.05.2026;_x000a_2026-04-28 12:30:01: Екатерина назначил(-а) Нелли исполнителем;_x000a_2026-04-28 12:57:57: Екатерина добавил(-а) тег ШП;_x000a_2026-04-28 13:14:18: Екатерина изменил(-а) дату на 19.05.2026 - 21.05.2026;_x000a_2026-04-28 13:14:20: Екатерина изменил(-а) дату на 18.05.2026 - 21.05.2026;_x000a_2026-04-28 13:14:22: Екатерина изменил(-а) дату на 19.05.2026 - 21.05.2026;_x000a_2026-04-28 13:14:27: Екатерина изменил(-а) дату на 18.05.2026 - 21.05.2026;_x000a_2026-04-28 13:14:30: Екатерина изменил(-а) дату на 18.05.2026 - 19.05.2026;_x000a_2026-04-28 15:46:51: Екатерина добавил(-а) тег страт-п-с-26-09;_x000a_2026-04-28 19:32:23: Екатерина назначил(-а) себя исполнителем;_x000a_2026-04-28 19:32:26: Екатерина отстранил(-а) себя от задачи;_x000a_2026-04-28 19:32:28: Екатерина отстранил(-а) Нелли от задачи;_x000a_2026-04-30 10:31:03: Екатерина назначил(-а) Елена исполнителем"/>
    <x v="0"/>
    <x v="8"/>
    <x v="6"/>
  </r>
  <r>
    <n v="27"/>
    <m/>
    <m/>
    <m/>
    <m/>
    <m/>
    <s v="Екатерина"/>
    <s v="1.2. Проведено Первичное совещание и заполнены итоги в карточке проекта в СRM"/>
    <m/>
    <x v="24"/>
    <m/>
    <s v="Действие"/>
    <s v="Низкий"/>
    <s v="N"/>
    <m/>
    <s v="27.04.2026 10:49:33"/>
    <n v="1821"/>
    <m/>
    <s v="Екатерина"/>
    <m/>
    <m/>
    <s v="N"/>
    <s v="N"/>
    <m/>
    <x v="2"/>
    <m/>
    <s v="2026-04-27 10:49:34: Екатерина создал(-а) задачу;_x000a_2026-04-27 10:50:01: Екатерина изменил(-а) дату на 05.05.2021"/>
    <x v="0"/>
    <x v="2"/>
    <x v="2"/>
  </r>
  <r>
    <n v="26"/>
    <m/>
    <m/>
    <m/>
    <m/>
    <m/>
    <s v="Екатерина"/>
    <s v="1.1. Сформирована Рабочая группа и заполнена карточка проекта в CRM"/>
    <m/>
    <x v="24"/>
    <m/>
    <s v="Действие"/>
    <s v="Низкий"/>
    <s v="N"/>
    <m/>
    <s v="27.04.2026 10:49:16"/>
    <n v="1820"/>
    <m/>
    <s v="Екатерина"/>
    <m/>
    <m/>
    <s v="N"/>
    <s v="N"/>
    <m/>
    <x v="2"/>
    <m/>
    <s v="2026-04-27 10:49:16: Екатерина создал(-а) задачу;_x000a_2026-04-27 10:49:47: Екатерина изменил(-а) дату на 06.05.2021"/>
    <x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Таблица6" cacheId="6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4:C1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6">
        <item x="21"/>
        <item x="0"/>
        <item x="19"/>
        <item x="1"/>
        <item x="9"/>
        <item x="8"/>
        <item x="13"/>
        <item x="7"/>
        <item x="17"/>
        <item x="22"/>
        <item x="12"/>
        <item x="6"/>
        <item x="16"/>
        <item x="3"/>
        <item x="11"/>
        <item x="20"/>
        <item x="5"/>
        <item x="4"/>
        <item x="15"/>
        <item x="10"/>
        <item x="18"/>
        <item x="23"/>
        <item x="24"/>
        <item x="1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h="1" x="3"/>
        <item h="1" x="14"/>
        <item h="1" x="7"/>
        <item h="1" x="22"/>
        <item h="1" x="0"/>
        <item h="1" x="15"/>
        <item h="1" x="6"/>
        <item h="1" x="18"/>
        <item h="1" x="23"/>
        <item h="1" x="5"/>
        <item h="1" x="1"/>
        <item h="1" x="19"/>
        <item h="1" x="9"/>
        <item h="1" x="16"/>
        <item h="1" x="20"/>
        <item h="1" x="4"/>
        <item h="1" x="13"/>
        <item h="1" x="8"/>
        <item h="1" x="17"/>
        <item h="1" x="21"/>
        <item x="12"/>
        <item x="11"/>
        <item x="10"/>
        <item h="1" x="2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</pivotFields>
  <rowFields count="2">
    <field x="27"/>
    <field x="24"/>
  </rowFields>
  <rowItems count="5">
    <i>
      <x/>
    </i>
    <i r="1">
      <x v="20"/>
    </i>
    <i r="1">
      <x v="21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Задача" fld="7" subtotal="count" baseField="0" baseItem="0"/>
    <dataField name="Сумма по полю Выполнена" fld="1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СводнаяТаблица9" cacheId="6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15:C24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6">
        <item x="21"/>
        <item x="0"/>
        <item x="19"/>
        <item x="1"/>
        <item x="9"/>
        <item x="8"/>
        <item x="13"/>
        <item x="7"/>
        <item x="17"/>
        <item x="22"/>
        <item x="12"/>
        <item x="6"/>
        <item x="16"/>
        <item x="3"/>
        <item x="11"/>
        <item x="20"/>
        <item x="5"/>
        <item x="4"/>
        <item x="15"/>
        <item x="10"/>
        <item x="18"/>
        <item x="23"/>
        <item x="24"/>
        <item x="1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8">
        <item x="0"/>
        <item x="1"/>
        <item x="4"/>
        <item x="3"/>
        <item x="5"/>
        <item x="6"/>
        <item h="1" x="2"/>
        <item t="default"/>
      </items>
    </pivotField>
  </pivotFields>
  <rowFields count="2">
    <field x="27"/>
    <field x="29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Задача" fld="7" subtotal="count" baseField="0" baseItem="0"/>
    <dataField name="Сумма по полю Выполнена" fld="1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opLeftCell="A8" workbookViewId="0">
      <selection activeCell="N35" sqref="N35"/>
    </sheetView>
  </sheetViews>
  <sheetFormatPr defaultRowHeight="14.4" x14ac:dyDescent="0.3"/>
  <cols>
    <col min="1" max="1" width="28.5546875" customWidth="1"/>
    <col min="2" max="2" width="26.88671875" bestFit="1" customWidth="1"/>
    <col min="3" max="3" width="26.5546875" customWidth="1"/>
    <col min="4" max="4" width="15.33203125" customWidth="1"/>
    <col min="9" max="9" width="38.5546875" customWidth="1"/>
    <col min="10" max="10" width="18.109375" customWidth="1"/>
    <col min="13" max="13" width="11" customWidth="1"/>
    <col min="14" max="14" width="20.88671875" customWidth="1"/>
  </cols>
  <sheetData>
    <row r="1" spans="1:14" ht="33.6" x14ac:dyDescent="0.65">
      <c r="A1" s="40" t="s">
        <v>915</v>
      </c>
    </row>
    <row r="2" spans="1:14" ht="15" thickBot="1" x14ac:dyDescent="0.35"/>
    <row r="3" spans="1:14" ht="18.600000000000001" thickBot="1" x14ac:dyDescent="0.4">
      <c r="H3" s="76" t="s">
        <v>842</v>
      </c>
      <c r="I3" s="79" t="s">
        <v>843</v>
      </c>
      <c r="J3" s="76" t="s">
        <v>844</v>
      </c>
      <c r="K3" s="80" t="s">
        <v>845</v>
      </c>
      <c r="L3" s="81"/>
      <c r="M3" s="81"/>
      <c r="N3" s="91"/>
    </row>
    <row r="4" spans="1:14" x14ac:dyDescent="0.3">
      <c r="A4" s="2"/>
      <c r="B4" s="4" t="s">
        <v>841</v>
      </c>
      <c r="C4" s="3"/>
      <c r="H4" s="77"/>
      <c r="I4" s="65"/>
      <c r="J4" s="77"/>
      <c r="K4" s="83" t="s">
        <v>846</v>
      </c>
      <c r="L4" s="84"/>
      <c r="M4" s="87" t="s">
        <v>847</v>
      </c>
      <c r="N4" s="84"/>
    </row>
    <row r="5" spans="1:14" ht="15" thickBot="1" x14ac:dyDescent="0.35">
      <c r="A5" s="4" t="s">
        <v>838</v>
      </c>
      <c r="B5" s="2" t="s">
        <v>840</v>
      </c>
      <c r="C5" s="7" t="s">
        <v>864</v>
      </c>
      <c r="D5" s="39">
        <f>GETPIVOTDATA("Сумма по полю Выполнена",$A$3,"Теги","страт-п-с-26-09, Операционный директор, Старт вехи Pre")/GETPIVOTDATA("Количество по полю Задача",$A$3,"Теги","страт-п-с-26-09, Операционный директор, Старт вехи Pre")</f>
        <v>0</v>
      </c>
      <c r="H5" s="77"/>
      <c r="I5" s="65"/>
      <c r="J5" s="77"/>
      <c r="K5" s="85"/>
      <c r="L5" s="86"/>
      <c r="M5" s="88"/>
      <c r="N5" s="86"/>
    </row>
    <row r="6" spans="1:14" ht="18.600000000000001" thickBot="1" x14ac:dyDescent="0.4">
      <c r="A6" s="5" t="s">
        <v>898</v>
      </c>
      <c r="B6" s="8">
        <v>3</v>
      </c>
      <c r="C6" s="9">
        <v>0</v>
      </c>
      <c r="D6" s="39">
        <f t="shared" ref="D6:D7" si="0">GETPIVOTDATA("Сумма по полю Выполнена",$A$3,"Теги","страт-п-с-26-09, Операционный директор, Старт вехи Pre")/GETPIVOTDATA("Количество по полю Задача",$A$3,"Теги","страт-п-с-26-09, Операционный директор, Старт вехи Pre")</f>
        <v>0</v>
      </c>
      <c r="H6" s="89"/>
      <c r="I6" s="90"/>
      <c r="J6" s="89"/>
      <c r="K6" s="18" t="s">
        <v>848</v>
      </c>
      <c r="L6" s="19" t="s">
        <v>849</v>
      </c>
      <c r="M6" s="19" t="s">
        <v>848</v>
      </c>
      <c r="N6" s="19" t="s">
        <v>849</v>
      </c>
    </row>
    <row r="7" spans="1:14" ht="34.200000000000003" thickBot="1" x14ac:dyDescent="0.7">
      <c r="A7" s="14" t="s">
        <v>429</v>
      </c>
      <c r="B7" s="10">
        <v>1</v>
      </c>
      <c r="C7" s="11">
        <v>0</v>
      </c>
      <c r="D7" s="39">
        <f t="shared" si="0"/>
        <v>0</v>
      </c>
      <c r="H7" s="20">
        <v>1</v>
      </c>
      <c r="I7" s="38" t="s">
        <v>899</v>
      </c>
      <c r="J7" s="37">
        <v>46289</v>
      </c>
      <c r="K7" s="22">
        <f>SUM(GETPIVOTDATA("Количество по полю Задача",$A$3,"Теги","страт-п-с-26-09, Операционный директор, Старт вехи Pre"),GETPIVOTDATA("Количество по полю Задача",$A$3,"Теги","страт-п-с-26-09, Операционный директор, старт вехи Pro")+GETPIVOTDATA("Количество по полю Задача",$A$3,"Теги","страт-п-с-26-09, Операционный директор, финиш вехи Post"))</f>
        <v>3</v>
      </c>
      <c r="L7" s="22">
        <f>SUM(GETPIVOTDATA("Сумма по полю Выполнена",$A$3,"Теги","страт-п-с-26-09, Операционный директор, Старт вехи Pre")+GETPIVOTDATA("Сумма по полю Выполнена",$A$3,"Теги","страт-п-с-26-09, Операционный директор, старт вехи Pro")+GETPIVOTDATA("Сумма по полю Выполнена",$A$3,"Теги","страт-п-с-26-09, Операционный директор, финиш вехи Post"))</f>
        <v>0</v>
      </c>
      <c r="M7" s="22">
        <f>GETPIVOTDATA("Количество по полю Задача",$A$3)</f>
        <v>3</v>
      </c>
      <c r="N7" s="22">
        <f>GETPIVOTDATA("Сумма по полю Выполнена",$A$3)</f>
        <v>0</v>
      </c>
    </row>
    <row r="8" spans="1:14" ht="34.200000000000003" thickBot="1" x14ac:dyDescent="0.7">
      <c r="A8" s="14" t="s">
        <v>424</v>
      </c>
      <c r="B8" s="10">
        <v>1</v>
      </c>
      <c r="C8" s="11">
        <v>0</v>
      </c>
      <c r="H8" s="20">
        <v>2</v>
      </c>
      <c r="I8" s="26"/>
      <c r="J8" s="18" t="s">
        <v>854</v>
      </c>
      <c r="K8" s="23"/>
      <c r="L8" s="23"/>
      <c r="M8" s="23"/>
      <c r="N8" s="23"/>
    </row>
    <row r="9" spans="1:14" ht="34.200000000000003" thickBot="1" x14ac:dyDescent="0.7">
      <c r="A9" s="14" t="s">
        <v>420</v>
      </c>
      <c r="B9" s="10">
        <v>1</v>
      </c>
      <c r="C9" s="11">
        <v>0</v>
      </c>
      <c r="H9" s="20">
        <v>3</v>
      </c>
      <c r="I9" s="26"/>
      <c r="J9" s="18" t="s">
        <v>857</v>
      </c>
      <c r="K9" s="24"/>
      <c r="L9" s="24"/>
      <c r="M9" s="24"/>
      <c r="N9" s="24"/>
    </row>
    <row r="10" spans="1:14" ht="34.200000000000003" thickBot="1" x14ac:dyDescent="0.7">
      <c r="A10" s="6" t="s">
        <v>839</v>
      </c>
      <c r="B10" s="12">
        <v>3</v>
      </c>
      <c r="C10" s="13">
        <v>0</v>
      </c>
      <c r="H10" s="20" t="s">
        <v>36</v>
      </c>
      <c r="I10" s="26" t="s">
        <v>859</v>
      </c>
      <c r="J10" s="19" t="s">
        <v>860</v>
      </c>
      <c r="K10" s="25" t="s">
        <v>861</v>
      </c>
      <c r="L10" s="25" t="s">
        <v>861</v>
      </c>
      <c r="M10" s="25" t="s">
        <v>862</v>
      </c>
      <c r="N10" s="25" t="s">
        <v>863</v>
      </c>
    </row>
    <row r="11" spans="1:14" x14ac:dyDescent="0.3">
      <c r="A11" s="41"/>
      <c r="B11" s="42"/>
      <c r="C11" s="42"/>
      <c r="I11" s="15"/>
    </row>
    <row r="12" spans="1:14" ht="34.200000000000003" thickBot="1" x14ac:dyDescent="0.7">
      <c r="A12" s="40" t="s">
        <v>914</v>
      </c>
      <c r="B12" s="42"/>
      <c r="C12" s="42"/>
      <c r="I12" s="15"/>
    </row>
    <row r="13" spans="1:14" ht="18.600000000000001" thickBot="1" x14ac:dyDescent="0.4">
      <c r="C13" s="42"/>
      <c r="H13" s="76" t="s">
        <v>842</v>
      </c>
      <c r="I13" s="79" t="s">
        <v>843</v>
      </c>
      <c r="J13" s="76" t="s">
        <v>844</v>
      </c>
      <c r="K13" s="80" t="s">
        <v>845</v>
      </c>
      <c r="L13" s="81"/>
      <c r="M13" s="81"/>
      <c r="N13" s="82"/>
    </row>
    <row r="14" spans="1:14" ht="16.5" customHeight="1" x14ac:dyDescent="0.65">
      <c r="A14" s="40"/>
      <c r="H14" s="77"/>
      <c r="I14" s="65"/>
      <c r="J14" s="77"/>
      <c r="K14" s="83" t="s">
        <v>846</v>
      </c>
      <c r="L14" s="84"/>
      <c r="M14" s="87" t="s">
        <v>847</v>
      </c>
      <c r="N14" s="84"/>
    </row>
    <row r="15" spans="1:14" ht="44.25" customHeight="1" thickBot="1" x14ac:dyDescent="0.35">
      <c r="A15" s="2"/>
      <c r="B15" s="4" t="s">
        <v>841</v>
      </c>
      <c r="C15" s="3"/>
      <c r="H15" s="77"/>
      <c r="I15" s="65"/>
      <c r="J15" s="77"/>
      <c r="K15" s="85"/>
      <c r="L15" s="86"/>
      <c r="M15" s="88"/>
      <c r="N15" s="86"/>
    </row>
    <row r="16" spans="1:14" ht="18.600000000000001" thickBot="1" x14ac:dyDescent="0.4">
      <c r="A16" s="4" t="s">
        <v>838</v>
      </c>
      <c r="B16" s="2" t="s">
        <v>840</v>
      </c>
      <c r="C16" s="7" t="s">
        <v>864</v>
      </c>
      <c r="H16" s="78"/>
      <c r="I16" s="66"/>
      <c r="J16" s="78"/>
      <c r="K16" s="18" t="s">
        <v>848</v>
      </c>
      <c r="L16" s="19" t="s">
        <v>849</v>
      </c>
      <c r="M16" s="19" t="s">
        <v>848</v>
      </c>
      <c r="N16" s="19" t="s">
        <v>849</v>
      </c>
    </row>
    <row r="17" spans="1:14" ht="34.200000000000003" thickBot="1" x14ac:dyDescent="0.7">
      <c r="A17" s="5" t="s">
        <v>898</v>
      </c>
      <c r="B17" s="8">
        <v>227</v>
      </c>
      <c r="C17" s="9">
        <v>0</v>
      </c>
      <c r="D17" s="39">
        <f>GETPIVOTDATA("Сумма по полю Выполнена",$A$15,"название мероприятия","Лично сентябрь 2026")/GETPIVOTDATA("Количество по полю Задача",$A$15,"название мероприятия","Лично сентябрь 2026")</f>
        <v>0</v>
      </c>
      <c r="H17" s="27">
        <v>1</v>
      </c>
      <c r="I17" s="21" t="s">
        <v>850</v>
      </c>
      <c r="J17" s="64" t="s">
        <v>851</v>
      </c>
      <c r="K17" s="70">
        <v>2</v>
      </c>
      <c r="L17" s="70">
        <v>2</v>
      </c>
      <c r="M17" s="22">
        <v>41</v>
      </c>
      <c r="N17" s="22" t="s">
        <v>852</v>
      </c>
    </row>
    <row r="18" spans="1:14" ht="18.600000000000001" thickBot="1" x14ac:dyDescent="0.4">
      <c r="A18" s="14" t="s">
        <v>908</v>
      </c>
      <c r="B18" s="10">
        <v>61</v>
      </c>
      <c r="C18" s="11">
        <v>0</v>
      </c>
      <c r="D18" s="39">
        <f t="shared" ref="D18:D23" si="1">GETPIVOTDATA("Сумма по полю Выполнена",$A$15,"название мероприятия","Лично сентябрь 2026")/GETPIVOTDATA("Количество по полю Задача",$A$15,"название мероприятия","Лично сентябрь 2026")</f>
        <v>0</v>
      </c>
      <c r="H18" s="28" t="s">
        <v>865</v>
      </c>
      <c r="I18" s="29" t="s">
        <v>866</v>
      </c>
      <c r="J18" s="65"/>
      <c r="K18" s="71"/>
      <c r="L18" s="71"/>
      <c r="M18" s="30">
        <v>9</v>
      </c>
      <c r="N18" s="30" t="s">
        <v>867</v>
      </c>
    </row>
    <row r="19" spans="1:14" ht="18.600000000000001" thickBot="1" x14ac:dyDescent="0.4">
      <c r="A19" s="14" t="s">
        <v>909</v>
      </c>
      <c r="B19" s="10">
        <v>21</v>
      </c>
      <c r="C19" s="11">
        <v>0</v>
      </c>
      <c r="D19" s="39">
        <f t="shared" si="1"/>
        <v>0</v>
      </c>
      <c r="H19" s="28" t="s">
        <v>868</v>
      </c>
      <c r="I19" s="29" t="s">
        <v>869</v>
      </c>
      <c r="J19" s="65"/>
      <c r="K19" s="71"/>
      <c r="L19" s="71"/>
      <c r="M19" s="30">
        <v>12</v>
      </c>
      <c r="N19" s="30" t="s">
        <v>870</v>
      </c>
    </row>
    <row r="20" spans="1:14" ht="18.600000000000001" thickBot="1" x14ac:dyDescent="0.4">
      <c r="A20" s="14" t="s">
        <v>913</v>
      </c>
      <c r="B20" s="10">
        <v>3</v>
      </c>
      <c r="C20" s="11">
        <v>0</v>
      </c>
      <c r="D20" s="39">
        <f t="shared" si="1"/>
        <v>0</v>
      </c>
      <c r="H20" s="28" t="s">
        <v>871</v>
      </c>
      <c r="I20" s="29" t="s">
        <v>872</v>
      </c>
      <c r="J20" s="65"/>
      <c r="K20" s="71"/>
      <c r="L20" s="71"/>
      <c r="M20" s="30">
        <v>9</v>
      </c>
      <c r="N20" s="30" t="s">
        <v>867</v>
      </c>
    </row>
    <row r="21" spans="1:14" ht="18.600000000000001" thickBot="1" x14ac:dyDescent="0.4">
      <c r="A21" s="14" t="s">
        <v>910</v>
      </c>
      <c r="B21" s="10">
        <v>66</v>
      </c>
      <c r="C21" s="11">
        <v>0</v>
      </c>
      <c r="D21" s="39">
        <f t="shared" si="1"/>
        <v>0</v>
      </c>
      <c r="H21" s="28" t="s">
        <v>873</v>
      </c>
      <c r="I21" s="29" t="s">
        <v>874</v>
      </c>
      <c r="J21" s="65"/>
      <c r="K21" s="71"/>
      <c r="L21" s="71"/>
      <c r="M21" s="30">
        <v>8</v>
      </c>
      <c r="N21" s="30" t="s">
        <v>875</v>
      </c>
    </row>
    <row r="22" spans="1:14" ht="18.600000000000001" thickBot="1" x14ac:dyDescent="0.4">
      <c r="A22" s="14" t="s">
        <v>912</v>
      </c>
      <c r="B22" s="10">
        <v>41</v>
      </c>
      <c r="C22" s="11">
        <v>0</v>
      </c>
      <c r="D22" s="39">
        <f t="shared" si="1"/>
        <v>0</v>
      </c>
      <c r="H22" s="28" t="s">
        <v>876</v>
      </c>
      <c r="I22" s="29" t="s">
        <v>877</v>
      </c>
      <c r="J22" s="66"/>
      <c r="K22" s="72"/>
      <c r="L22" s="72"/>
      <c r="M22" s="30">
        <v>3</v>
      </c>
      <c r="N22" s="30" t="s">
        <v>878</v>
      </c>
    </row>
    <row r="23" spans="1:14" ht="34.200000000000003" thickBot="1" x14ac:dyDescent="0.7">
      <c r="A23" s="14" t="s">
        <v>911</v>
      </c>
      <c r="B23" s="10">
        <v>35</v>
      </c>
      <c r="C23" s="11">
        <v>0</v>
      </c>
      <c r="D23" s="39">
        <f t="shared" si="1"/>
        <v>0</v>
      </c>
      <c r="H23" s="20">
        <v>2</v>
      </c>
      <c r="I23" s="21" t="s">
        <v>853</v>
      </c>
      <c r="J23" s="64" t="s">
        <v>854</v>
      </c>
      <c r="K23" s="73">
        <v>2</v>
      </c>
      <c r="L23" s="73">
        <v>1</v>
      </c>
      <c r="M23" s="23">
        <v>34</v>
      </c>
      <c r="N23" s="23" t="s">
        <v>855</v>
      </c>
    </row>
    <row r="24" spans="1:14" ht="18.600000000000001" thickBot="1" x14ac:dyDescent="0.4">
      <c r="A24" s="6" t="s">
        <v>839</v>
      </c>
      <c r="B24" s="12">
        <v>227</v>
      </c>
      <c r="C24" s="13">
        <v>0</v>
      </c>
      <c r="H24" s="28" t="s">
        <v>879</v>
      </c>
      <c r="I24" s="29" t="s">
        <v>866</v>
      </c>
      <c r="J24" s="65"/>
      <c r="K24" s="74"/>
      <c r="L24" s="74"/>
      <c r="M24" s="31">
        <v>9</v>
      </c>
      <c r="N24" s="31" t="s">
        <v>880</v>
      </c>
    </row>
    <row r="25" spans="1:14" ht="18.600000000000001" thickBot="1" x14ac:dyDescent="0.4">
      <c r="H25" s="28" t="s">
        <v>881</v>
      </c>
      <c r="I25" s="32" t="s">
        <v>869</v>
      </c>
      <c r="J25" s="65"/>
      <c r="K25" s="74"/>
      <c r="L25" s="74"/>
      <c r="M25" s="30">
        <v>8</v>
      </c>
      <c r="N25" s="30" t="s">
        <v>875</v>
      </c>
    </row>
    <row r="26" spans="1:14" ht="18.600000000000001" thickBot="1" x14ac:dyDescent="0.4">
      <c r="H26" s="28" t="s">
        <v>882</v>
      </c>
      <c r="I26" s="32" t="s">
        <v>872</v>
      </c>
      <c r="J26" s="65"/>
      <c r="K26" s="74"/>
      <c r="L26" s="74"/>
      <c r="M26" s="30">
        <v>7</v>
      </c>
      <c r="N26" s="30" t="s">
        <v>926</v>
      </c>
    </row>
    <row r="27" spans="1:14" ht="18.600000000000001" thickBot="1" x14ac:dyDescent="0.4">
      <c r="H27" s="28" t="s">
        <v>883</v>
      </c>
      <c r="I27" s="32" t="s">
        <v>874</v>
      </c>
      <c r="J27" s="65"/>
      <c r="K27" s="74"/>
      <c r="L27" s="74"/>
      <c r="M27" s="30">
        <v>4</v>
      </c>
      <c r="N27" s="30" t="s">
        <v>884</v>
      </c>
    </row>
    <row r="28" spans="1:14" ht="18.600000000000001" thickBot="1" x14ac:dyDescent="0.4">
      <c r="H28" s="28" t="s">
        <v>885</v>
      </c>
      <c r="I28" s="29" t="s">
        <v>877</v>
      </c>
      <c r="J28" s="66"/>
      <c r="K28" s="75"/>
      <c r="L28" s="75"/>
      <c r="M28" s="31">
        <v>3</v>
      </c>
      <c r="N28" s="31" t="s">
        <v>886</v>
      </c>
    </row>
    <row r="29" spans="1:14" ht="34.200000000000003" thickBot="1" x14ac:dyDescent="0.7">
      <c r="H29" s="20">
        <v>3</v>
      </c>
      <c r="I29" s="21" t="s">
        <v>856</v>
      </c>
      <c r="J29" s="64" t="s">
        <v>857</v>
      </c>
      <c r="K29" s="67">
        <v>2</v>
      </c>
      <c r="L29" s="67">
        <v>1</v>
      </c>
      <c r="M29" s="24">
        <v>30</v>
      </c>
      <c r="N29" s="24" t="s">
        <v>858</v>
      </c>
    </row>
    <row r="30" spans="1:14" ht="18.600000000000001" thickBot="1" x14ac:dyDescent="0.4">
      <c r="H30" s="28" t="s">
        <v>887</v>
      </c>
      <c r="I30" s="29" t="s">
        <v>866</v>
      </c>
      <c r="J30" s="65"/>
      <c r="K30" s="68"/>
      <c r="L30" s="68"/>
      <c r="M30" s="33">
        <v>9</v>
      </c>
      <c r="N30" s="33" t="s">
        <v>888</v>
      </c>
    </row>
    <row r="31" spans="1:14" ht="18.600000000000001" thickBot="1" x14ac:dyDescent="0.4">
      <c r="H31" s="28" t="s">
        <v>889</v>
      </c>
      <c r="I31" s="32" t="s">
        <v>869</v>
      </c>
      <c r="J31" s="65"/>
      <c r="K31" s="68"/>
      <c r="L31" s="68"/>
      <c r="M31" s="33">
        <v>6</v>
      </c>
      <c r="N31" s="33" t="s">
        <v>890</v>
      </c>
    </row>
    <row r="32" spans="1:14" ht="18.600000000000001" thickBot="1" x14ac:dyDescent="0.4">
      <c r="H32" s="28" t="s">
        <v>891</v>
      </c>
      <c r="I32" s="32" t="s">
        <v>872</v>
      </c>
      <c r="J32" s="65"/>
      <c r="K32" s="68"/>
      <c r="L32" s="68"/>
      <c r="M32" s="34">
        <v>5</v>
      </c>
      <c r="N32" s="34" t="s">
        <v>892</v>
      </c>
    </row>
    <row r="33" spans="8:14" ht="18.600000000000001" thickBot="1" x14ac:dyDescent="0.4">
      <c r="H33" s="28" t="s">
        <v>893</v>
      </c>
      <c r="I33" s="32" t="s">
        <v>874</v>
      </c>
      <c r="J33" s="65"/>
      <c r="K33" s="68"/>
      <c r="L33" s="68"/>
      <c r="M33" s="33">
        <v>7</v>
      </c>
      <c r="N33" s="33" t="s">
        <v>894</v>
      </c>
    </row>
    <row r="34" spans="8:14" ht="18.600000000000001" thickBot="1" x14ac:dyDescent="0.4">
      <c r="H34" s="28" t="s">
        <v>895</v>
      </c>
      <c r="I34" s="29" t="s">
        <v>877</v>
      </c>
      <c r="J34" s="66"/>
      <c r="K34" s="69"/>
      <c r="L34" s="69"/>
      <c r="M34" s="33">
        <v>3</v>
      </c>
      <c r="N34" s="33" t="s">
        <v>896</v>
      </c>
    </row>
    <row r="35" spans="8:14" ht="34.200000000000003" thickBot="1" x14ac:dyDescent="0.7">
      <c r="H35" s="20" t="s">
        <v>36</v>
      </c>
      <c r="I35" s="21" t="s">
        <v>859</v>
      </c>
      <c r="J35" s="35" t="s">
        <v>860</v>
      </c>
      <c r="K35" s="36" t="s">
        <v>861</v>
      </c>
      <c r="L35" s="36" t="s">
        <v>861</v>
      </c>
      <c r="M35" s="36" t="s">
        <v>862</v>
      </c>
      <c r="N35" s="36" t="s">
        <v>863</v>
      </c>
    </row>
  </sheetData>
  <mergeCells count="21">
    <mergeCell ref="H3:H6"/>
    <mergeCell ref="I3:I6"/>
    <mergeCell ref="J3:J6"/>
    <mergeCell ref="K3:N3"/>
    <mergeCell ref="K4:L5"/>
    <mergeCell ref="M4:N5"/>
    <mergeCell ref="H13:H16"/>
    <mergeCell ref="I13:I16"/>
    <mergeCell ref="J13:J16"/>
    <mergeCell ref="K13:N13"/>
    <mergeCell ref="K14:L15"/>
    <mergeCell ref="M14:N15"/>
    <mergeCell ref="J29:J34"/>
    <mergeCell ref="K29:K34"/>
    <mergeCell ref="L29:L34"/>
    <mergeCell ref="J17:J22"/>
    <mergeCell ref="K17:K22"/>
    <mergeCell ref="L17:L22"/>
    <mergeCell ref="J23:J28"/>
    <mergeCell ref="K23:K28"/>
    <mergeCell ref="L23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247"/>
  <sheetViews>
    <sheetView topLeftCell="D1" workbookViewId="0">
      <selection activeCell="J247" sqref="J247"/>
    </sheetView>
  </sheetViews>
  <sheetFormatPr defaultRowHeight="14.4" x14ac:dyDescent="0.3"/>
  <cols>
    <col min="8" max="8" width="56" customWidth="1"/>
    <col min="9" max="9" width="34.109375" customWidth="1"/>
    <col min="16" max="16" width="16.44140625" customWidth="1"/>
    <col min="17" max="17" width="21.5546875" customWidth="1"/>
    <col min="27" max="27" width="36.109375" customWidth="1"/>
    <col min="28" max="28" width="30" customWidth="1"/>
    <col min="29" max="29" width="32.5546875" customWidth="1"/>
    <col min="30" max="30" width="14.88671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6" t="s">
        <v>897</v>
      </c>
      <c r="AC1" s="16" t="s">
        <v>976</v>
      </c>
      <c r="AD1" s="16" t="s">
        <v>906</v>
      </c>
    </row>
    <row r="2" spans="1:30" hidden="1" x14ac:dyDescent="0.3">
      <c r="A2">
        <v>903</v>
      </c>
      <c r="B2" t="s">
        <v>27</v>
      </c>
      <c r="C2" t="s">
        <v>28</v>
      </c>
      <c r="D2" t="s">
        <v>29</v>
      </c>
      <c r="G2" t="s">
        <v>30</v>
      </c>
      <c r="H2" t="s">
        <v>31</v>
      </c>
      <c r="I2" t="s">
        <v>32</v>
      </c>
      <c r="J2" t="s">
        <v>33</v>
      </c>
      <c r="L2" t="s">
        <v>34</v>
      </c>
      <c r="M2" t="s">
        <v>35</v>
      </c>
      <c r="N2" t="s">
        <v>36</v>
      </c>
      <c r="P2" t="s">
        <v>37</v>
      </c>
      <c r="S2" t="s">
        <v>30</v>
      </c>
      <c r="V2" t="s">
        <v>36</v>
      </c>
      <c r="W2" t="s">
        <v>36</v>
      </c>
      <c r="Y2" t="s">
        <v>38</v>
      </c>
      <c r="AA2" t="s">
        <v>39</v>
      </c>
      <c r="AB2" s="16" t="s">
        <v>898</v>
      </c>
      <c r="AC2" t="str">
        <f>VLOOKUP(Y2,'впр данные'!A:B,2,1)</f>
        <v>координатор, страт-п-с-26-09</v>
      </c>
      <c r="AD2" t="str">
        <f>VLOOKUP(Y2,'впр данные'!A:C,3,1)</f>
        <v>координатор</v>
      </c>
    </row>
    <row r="3" spans="1:30" hidden="1" x14ac:dyDescent="0.3">
      <c r="A3">
        <v>459</v>
      </c>
      <c r="B3" t="s">
        <v>27</v>
      </c>
      <c r="C3" t="s">
        <v>28</v>
      </c>
      <c r="D3" t="s">
        <v>29</v>
      </c>
      <c r="G3" t="s">
        <v>30</v>
      </c>
      <c r="H3" t="s">
        <v>40</v>
      </c>
      <c r="I3" t="s">
        <v>41</v>
      </c>
      <c r="J3" t="s">
        <v>42</v>
      </c>
      <c r="L3" t="s">
        <v>34</v>
      </c>
      <c r="M3" t="s">
        <v>35</v>
      </c>
      <c r="N3" t="s">
        <v>36</v>
      </c>
      <c r="P3" t="s">
        <v>43</v>
      </c>
      <c r="S3" t="s">
        <v>30</v>
      </c>
      <c r="V3" t="s">
        <v>36</v>
      </c>
      <c r="W3" t="s">
        <v>36</v>
      </c>
      <c r="Y3" t="s">
        <v>44</v>
      </c>
      <c r="AA3" t="s">
        <v>45</v>
      </c>
      <c r="AB3" s="16" t="s">
        <v>898</v>
      </c>
      <c r="AC3" t="str">
        <f>VLOOKUP(Y3,'впр данные'!A:B,2,1)</f>
        <v>лидген, страт-п-с-26-09</v>
      </c>
      <c r="AD3" t="str">
        <f>VLOOKUP(Y3,'впр данные'!A:C,3,1)</f>
        <v>лидген</v>
      </c>
    </row>
    <row r="4" spans="1:30" hidden="1" x14ac:dyDescent="0.3">
      <c r="A4">
        <v>456</v>
      </c>
      <c r="E4" t="s">
        <v>46</v>
      </c>
      <c r="F4" t="s">
        <v>46</v>
      </c>
      <c r="G4" t="s">
        <v>30</v>
      </c>
      <c r="H4" t="s">
        <v>47</v>
      </c>
      <c r="L4" t="s">
        <v>34</v>
      </c>
      <c r="M4" t="s">
        <v>35</v>
      </c>
      <c r="N4" t="s">
        <v>36</v>
      </c>
      <c r="P4" t="s">
        <v>48</v>
      </c>
      <c r="S4" t="s">
        <v>30</v>
      </c>
      <c r="V4" t="s">
        <v>36</v>
      </c>
      <c r="W4" t="s">
        <v>36</v>
      </c>
      <c r="AA4" t="s">
        <v>49</v>
      </c>
      <c r="AB4" s="16" t="s">
        <v>898</v>
      </c>
      <c r="AC4" t="e">
        <f>VLOOKUP(Y4,'впр данные'!A:B,2,1)</f>
        <v>#N/A</v>
      </c>
      <c r="AD4" t="e">
        <f>VLOOKUP(Y4,'впр данные'!A:C,3,1)</f>
        <v>#N/A</v>
      </c>
    </row>
    <row r="5" spans="1:30" hidden="1" x14ac:dyDescent="0.3">
      <c r="A5">
        <v>454</v>
      </c>
      <c r="E5" t="s">
        <v>50</v>
      </c>
      <c r="F5" t="s">
        <v>50</v>
      </c>
      <c r="G5" t="s">
        <v>30</v>
      </c>
      <c r="H5" t="s">
        <v>51</v>
      </c>
      <c r="L5" t="s">
        <v>34</v>
      </c>
      <c r="M5" t="s">
        <v>35</v>
      </c>
      <c r="N5" t="s">
        <v>36</v>
      </c>
      <c r="P5" t="s">
        <v>52</v>
      </c>
      <c r="S5" t="s">
        <v>30</v>
      </c>
      <c r="V5" t="s">
        <v>36</v>
      </c>
      <c r="W5" t="s">
        <v>36</v>
      </c>
      <c r="AA5" t="s">
        <v>53</v>
      </c>
      <c r="AB5" s="16" t="s">
        <v>898</v>
      </c>
      <c r="AC5" t="e">
        <f>VLOOKUP(Y5,'впр данные'!A:B,2,1)</f>
        <v>#N/A</v>
      </c>
      <c r="AD5" t="e">
        <f>VLOOKUP(Y5,'впр данные'!A:C,3,1)</f>
        <v>#N/A</v>
      </c>
    </row>
    <row r="6" spans="1:30" hidden="1" x14ac:dyDescent="0.3">
      <c r="A6">
        <v>453</v>
      </c>
      <c r="E6" t="s">
        <v>54</v>
      </c>
      <c r="F6" t="s">
        <v>54</v>
      </c>
      <c r="G6" t="s">
        <v>30</v>
      </c>
      <c r="H6" t="s">
        <v>55</v>
      </c>
      <c r="L6" t="s">
        <v>34</v>
      </c>
      <c r="M6" t="s">
        <v>35</v>
      </c>
      <c r="N6" t="s">
        <v>36</v>
      </c>
      <c r="P6" t="s">
        <v>56</v>
      </c>
      <c r="S6" t="s">
        <v>30</v>
      </c>
      <c r="V6" t="s">
        <v>36</v>
      </c>
      <c r="W6" t="s">
        <v>36</v>
      </c>
      <c r="AA6" t="s">
        <v>57</v>
      </c>
      <c r="AB6" s="16" t="s">
        <v>898</v>
      </c>
      <c r="AC6" t="e">
        <f>VLOOKUP(Y6,'впр данные'!A:B,2,1)</f>
        <v>#N/A</v>
      </c>
      <c r="AD6" t="e">
        <f>VLOOKUP(Y6,'впр данные'!A:C,3,1)</f>
        <v>#N/A</v>
      </c>
    </row>
    <row r="7" spans="1:30" hidden="1" x14ac:dyDescent="0.3">
      <c r="A7">
        <v>452</v>
      </c>
      <c r="E7" t="s">
        <v>54</v>
      </c>
      <c r="F7" t="s">
        <v>54</v>
      </c>
      <c r="G7" t="s">
        <v>30</v>
      </c>
      <c r="H7" t="s">
        <v>58</v>
      </c>
      <c r="L7" t="s">
        <v>34</v>
      </c>
      <c r="M7" t="s">
        <v>35</v>
      </c>
      <c r="N7" t="s">
        <v>36</v>
      </c>
      <c r="P7" t="s">
        <v>59</v>
      </c>
      <c r="S7" t="s">
        <v>30</v>
      </c>
      <c r="V7" t="s">
        <v>36</v>
      </c>
      <c r="W7" t="s">
        <v>36</v>
      </c>
      <c r="AA7" t="s">
        <v>60</v>
      </c>
      <c r="AB7" s="16" t="s">
        <v>898</v>
      </c>
      <c r="AC7" t="e">
        <f>VLOOKUP(Y7,'впр данные'!A:B,2,1)</f>
        <v>#N/A</v>
      </c>
      <c r="AD7" t="e">
        <f>VLOOKUP(Y7,'впр данные'!A:C,3,1)</f>
        <v>#N/A</v>
      </c>
    </row>
    <row r="8" spans="1:30" hidden="1" x14ac:dyDescent="0.3">
      <c r="A8">
        <v>451</v>
      </c>
      <c r="E8" t="s">
        <v>54</v>
      </c>
      <c r="F8" t="s">
        <v>54</v>
      </c>
      <c r="G8" t="s">
        <v>30</v>
      </c>
      <c r="H8" t="s">
        <v>61</v>
      </c>
      <c r="L8" t="s">
        <v>34</v>
      </c>
      <c r="M8" t="s">
        <v>35</v>
      </c>
      <c r="N8" t="s">
        <v>36</v>
      </c>
      <c r="P8" t="s">
        <v>62</v>
      </c>
      <c r="S8" t="s">
        <v>30</v>
      </c>
      <c r="V8" t="s">
        <v>36</v>
      </c>
      <c r="W8" t="s">
        <v>36</v>
      </c>
      <c r="AA8" t="s">
        <v>63</v>
      </c>
      <c r="AB8" s="16" t="s">
        <v>898</v>
      </c>
      <c r="AC8" t="e">
        <f>VLOOKUP(Y8,'впр данные'!A:B,2,1)</f>
        <v>#N/A</v>
      </c>
      <c r="AD8" t="e">
        <f>VLOOKUP(Y8,'впр данные'!A:C,3,1)</f>
        <v>#N/A</v>
      </c>
    </row>
    <row r="9" spans="1:30" hidden="1" x14ac:dyDescent="0.3">
      <c r="A9">
        <v>428</v>
      </c>
      <c r="B9" t="s">
        <v>27</v>
      </c>
      <c r="C9" t="s">
        <v>28</v>
      </c>
      <c r="D9" t="s">
        <v>29</v>
      </c>
      <c r="G9" t="s">
        <v>30</v>
      </c>
      <c r="H9" t="s">
        <v>54</v>
      </c>
      <c r="I9" t="s">
        <v>64</v>
      </c>
      <c r="J9" t="s">
        <v>65</v>
      </c>
      <c r="L9" t="s">
        <v>34</v>
      </c>
      <c r="M9" t="s">
        <v>35</v>
      </c>
      <c r="N9" t="s">
        <v>36</v>
      </c>
      <c r="P9" t="s">
        <v>66</v>
      </c>
      <c r="S9" t="s">
        <v>30</v>
      </c>
      <c r="V9" t="s">
        <v>36</v>
      </c>
      <c r="W9" t="s">
        <v>36</v>
      </c>
      <c r="Y9" t="s">
        <v>44</v>
      </c>
      <c r="AA9" t="s">
        <v>67</v>
      </c>
      <c r="AB9" s="16" t="s">
        <v>898</v>
      </c>
      <c r="AC9" t="str">
        <f>VLOOKUP(Y9,'впр данные'!A:B,2,1)</f>
        <v>лидген, страт-п-с-26-09</v>
      </c>
      <c r="AD9" t="str">
        <f>VLOOKUP(Y9,'впр данные'!A:C,3,1)</f>
        <v>лидген</v>
      </c>
    </row>
    <row r="10" spans="1:30" hidden="1" x14ac:dyDescent="0.3">
      <c r="A10">
        <v>427</v>
      </c>
      <c r="B10" t="s">
        <v>27</v>
      </c>
      <c r="C10" t="s">
        <v>28</v>
      </c>
      <c r="D10" t="s">
        <v>29</v>
      </c>
      <c r="G10" t="s">
        <v>30</v>
      </c>
      <c r="H10" t="s">
        <v>68</v>
      </c>
      <c r="I10" t="s">
        <v>32</v>
      </c>
      <c r="J10" t="s">
        <v>33</v>
      </c>
      <c r="L10" t="s">
        <v>34</v>
      </c>
      <c r="M10" t="s">
        <v>35</v>
      </c>
      <c r="N10" t="s">
        <v>36</v>
      </c>
      <c r="P10" t="s">
        <v>69</v>
      </c>
      <c r="S10" t="s">
        <v>30</v>
      </c>
      <c r="V10" t="s">
        <v>36</v>
      </c>
      <c r="W10" t="s">
        <v>36</v>
      </c>
      <c r="Y10" t="s">
        <v>38</v>
      </c>
      <c r="AA10" t="s">
        <v>70</v>
      </c>
      <c r="AB10" s="16" t="s">
        <v>898</v>
      </c>
      <c r="AC10" t="str">
        <f>VLOOKUP(Y10,'впр данные'!A:B,2,1)</f>
        <v>координатор, страт-п-с-26-09</v>
      </c>
      <c r="AD10" t="str">
        <f>VLOOKUP(Y10,'впр данные'!A:C,3,1)</f>
        <v>координатор</v>
      </c>
    </row>
    <row r="11" spans="1:30" hidden="1" x14ac:dyDescent="0.3">
      <c r="A11">
        <v>426</v>
      </c>
      <c r="B11" t="s">
        <v>27</v>
      </c>
      <c r="C11" t="s">
        <v>28</v>
      </c>
      <c r="D11" t="s">
        <v>29</v>
      </c>
      <c r="G11" t="s">
        <v>30</v>
      </c>
      <c r="H11" t="s">
        <v>71</v>
      </c>
      <c r="I11" t="s">
        <v>32</v>
      </c>
      <c r="J11" t="s">
        <v>33</v>
      </c>
      <c r="L11" t="s">
        <v>34</v>
      </c>
      <c r="M11" t="s">
        <v>35</v>
      </c>
      <c r="N11" t="s">
        <v>36</v>
      </c>
      <c r="P11" t="s">
        <v>72</v>
      </c>
      <c r="S11" t="s">
        <v>30</v>
      </c>
      <c r="V11" t="s">
        <v>36</v>
      </c>
      <c r="W11" t="s">
        <v>36</v>
      </c>
      <c r="Y11" t="s">
        <v>38</v>
      </c>
      <c r="AA11" t="s">
        <v>73</v>
      </c>
      <c r="AB11" s="16" t="s">
        <v>898</v>
      </c>
      <c r="AC11" t="str">
        <f>VLOOKUP(Y11,'впр данные'!A:B,2,1)</f>
        <v>координатор, страт-п-с-26-09</v>
      </c>
      <c r="AD11" t="str">
        <f>VLOOKUP(Y11,'впр данные'!A:C,3,1)</f>
        <v>координатор</v>
      </c>
    </row>
    <row r="12" spans="1:30" hidden="1" x14ac:dyDescent="0.3">
      <c r="A12">
        <v>425</v>
      </c>
      <c r="B12" t="s">
        <v>27</v>
      </c>
      <c r="C12" t="s">
        <v>28</v>
      </c>
      <c r="D12" t="s">
        <v>29</v>
      </c>
      <c r="G12" t="s">
        <v>30</v>
      </c>
      <c r="H12" t="s">
        <v>74</v>
      </c>
      <c r="I12" t="s">
        <v>32</v>
      </c>
      <c r="J12" t="s">
        <v>33</v>
      </c>
      <c r="L12" t="s">
        <v>34</v>
      </c>
      <c r="M12" t="s">
        <v>35</v>
      </c>
      <c r="N12" t="s">
        <v>36</v>
      </c>
      <c r="P12" t="s">
        <v>75</v>
      </c>
      <c r="S12" t="s">
        <v>30</v>
      </c>
      <c r="V12" t="s">
        <v>36</v>
      </c>
      <c r="W12" t="s">
        <v>36</v>
      </c>
      <c r="Y12" t="s">
        <v>38</v>
      </c>
      <c r="AA12" t="s">
        <v>76</v>
      </c>
      <c r="AB12" s="16" t="s">
        <v>898</v>
      </c>
      <c r="AC12" t="str">
        <f>VLOOKUP(Y12,'впр данные'!A:B,2,1)</f>
        <v>координатор, страт-п-с-26-09</v>
      </c>
      <c r="AD12" t="str">
        <f>VLOOKUP(Y12,'впр данные'!A:C,3,1)</f>
        <v>координатор</v>
      </c>
    </row>
    <row r="13" spans="1:30" hidden="1" x14ac:dyDescent="0.3">
      <c r="A13">
        <v>424</v>
      </c>
      <c r="B13" t="s">
        <v>27</v>
      </c>
      <c r="C13" t="s">
        <v>28</v>
      </c>
      <c r="D13" t="s">
        <v>29</v>
      </c>
      <c r="G13" t="s">
        <v>30</v>
      </c>
      <c r="H13" t="s">
        <v>77</v>
      </c>
      <c r="I13" t="s">
        <v>32</v>
      </c>
      <c r="J13" t="s">
        <v>33</v>
      </c>
      <c r="L13" t="s">
        <v>34</v>
      </c>
      <c r="M13" t="s">
        <v>35</v>
      </c>
      <c r="N13" t="s">
        <v>36</v>
      </c>
      <c r="P13" t="s">
        <v>78</v>
      </c>
      <c r="S13" t="s">
        <v>30</v>
      </c>
      <c r="V13" t="s">
        <v>36</v>
      </c>
      <c r="W13" t="s">
        <v>36</v>
      </c>
      <c r="Y13" t="s">
        <v>38</v>
      </c>
      <c r="AA13" t="s">
        <v>79</v>
      </c>
      <c r="AB13" s="16" t="s">
        <v>898</v>
      </c>
      <c r="AC13" t="str">
        <f>VLOOKUP(Y13,'впр данные'!A:B,2,1)</f>
        <v>координатор, страт-п-с-26-09</v>
      </c>
      <c r="AD13" t="str">
        <f>VLOOKUP(Y13,'впр данные'!A:C,3,1)</f>
        <v>координатор</v>
      </c>
    </row>
    <row r="14" spans="1:30" hidden="1" x14ac:dyDescent="0.3">
      <c r="A14">
        <v>423</v>
      </c>
      <c r="B14" t="s">
        <v>27</v>
      </c>
      <c r="C14" t="s">
        <v>28</v>
      </c>
      <c r="D14" t="s">
        <v>29</v>
      </c>
      <c r="G14" t="s">
        <v>30</v>
      </c>
      <c r="H14" t="s">
        <v>80</v>
      </c>
      <c r="J14" t="s">
        <v>81</v>
      </c>
      <c r="L14" t="s">
        <v>34</v>
      </c>
      <c r="M14" t="s">
        <v>35</v>
      </c>
      <c r="N14" t="s">
        <v>36</v>
      </c>
      <c r="P14" t="s">
        <v>82</v>
      </c>
      <c r="S14" t="s">
        <v>30</v>
      </c>
      <c r="V14" t="s">
        <v>36</v>
      </c>
      <c r="W14" t="s">
        <v>36</v>
      </c>
      <c r="Y14" t="s">
        <v>83</v>
      </c>
      <c r="AA14" t="s">
        <v>84</v>
      </c>
      <c r="AB14" s="16" t="s">
        <v>898</v>
      </c>
      <c r="AC14" t="str">
        <f>VLOOKUP(Y14,'впр данные'!A:B,2,1)</f>
        <v>координатор, страт-п-с-26-09</v>
      </c>
      <c r="AD14" t="str">
        <f>VLOOKUP(Y14,'впр данные'!A:C,3,1)</f>
        <v>координатор</v>
      </c>
    </row>
    <row r="15" spans="1:30" hidden="1" x14ac:dyDescent="0.3">
      <c r="A15">
        <v>422</v>
      </c>
      <c r="B15" t="s">
        <v>27</v>
      </c>
      <c r="C15" t="s">
        <v>28</v>
      </c>
      <c r="D15" t="s">
        <v>29</v>
      </c>
      <c r="G15" t="s">
        <v>30</v>
      </c>
      <c r="H15" t="s">
        <v>85</v>
      </c>
      <c r="J15" t="s">
        <v>81</v>
      </c>
      <c r="L15" t="s">
        <v>34</v>
      </c>
      <c r="M15" t="s">
        <v>35</v>
      </c>
      <c r="N15" t="s">
        <v>36</v>
      </c>
      <c r="P15" t="s">
        <v>86</v>
      </c>
      <c r="S15" t="s">
        <v>30</v>
      </c>
      <c r="V15" t="s">
        <v>36</v>
      </c>
      <c r="W15" t="s">
        <v>36</v>
      </c>
      <c r="Y15" t="s">
        <v>83</v>
      </c>
      <c r="AA15" t="s">
        <v>87</v>
      </c>
      <c r="AB15" s="16" t="s">
        <v>898</v>
      </c>
      <c r="AC15" t="str">
        <f>VLOOKUP(Y15,'впр данные'!A:B,2,1)</f>
        <v>координатор, страт-п-с-26-09</v>
      </c>
      <c r="AD15" t="str">
        <f>VLOOKUP(Y15,'впр данные'!A:C,3,1)</f>
        <v>координатор</v>
      </c>
    </row>
    <row r="16" spans="1:30" hidden="1" x14ac:dyDescent="0.3">
      <c r="A16">
        <v>421</v>
      </c>
      <c r="B16" t="s">
        <v>27</v>
      </c>
      <c r="C16" t="s">
        <v>28</v>
      </c>
      <c r="D16" t="s">
        <v>29</v>
      </c>
      <c r="G16" t="s">
        <v>30</v>
      </c>
      <c r="H16" t="s">
        <v>88</v>
      </c>
      <c r="J16" t="s">
        <v>89</v>
      </c>
      <c r="L16" t="s">
        <v>34</v>
      </c>
      <c r="M16" t="s">
        <v>35</v>
      </c>
      <c r="N16" t="s">
        <v>36</v>
      </c>
      <c r="P16" t="s">
        <v>90</v>
      </c>
      <c r="S16" t="s">
        <v>30</v>
      </c>
      <c r="V16" t="s">
        <v>36</v>
      </c>
      <c r="W16" t="s">
        <v>36</v>
      </c>
      <c r="Y16" t="s">
        <v>83</v>
      </c>
      <c r="AA16" t="s">
        <v>91</v>
      </c>
      <c r="AB16" s="16" t="s">
        <v>898</v>
      </c>
      <c r="AC16" t="str">
        <f>VLOOKUP(Y16,'впр данные'!A:B,2,1)</f>
        <v>координатор, страт-п-с-26-09</v>
      </c>
      <c r="AD16" t="str">
        <f>VLOOKUP(Y16,'впр данные'!A:C,3,1)</f>
        <v>координатор</v>
      </c>
    </row>
    <row r="17" spans="1:30" hidden="1" x14ac:dyDescent="0.3">
      <c r="A17">
        <v>420</v>
      </c>
      <c r="B17" t="s">
        <v>27</v>
      </c>
      <c r="C17" t="s">
        <v>28</v>
      </c>
      <c r="D17" t="s">
        <v>29</v>
      </c>
      <c r="G17" t="s">
        <v>30</v>
      </c>
      <c r="H17" t="s">
        <v>92</v>
      </c>
      <c r="I17" t="s">
        <v>93</v>
      </c>
      <c r="J17" t="s">
        <v>94</v>
      </c>
      <c r="L17" t="s">
        <v>34</v>
      </c>
      <c r="M17" t="s">
        <v>35</v>
      </c>
      <c r="N17" t="s">
        <v>36</v>
      </c>
      <c r="P17" t="s">
        <v>95</v>
      </c>
      <c r="S17" t="s">
        <v>30</v>
      </c>
      <c r="V17" t="s">
        <v>36</v>
      </c>
      <c r="W17" t="s">
        <v>36</v>
      </c>
      <c r="Y17" t="s">
        <v>96</v>
      </c>
      <c r="AA17" t="s">
        <v>97</v>
      </c>
      <c r="AB17" s="16" t="s">
        <v>898</v>
      </c>
      <c r="AC17" t="str">
        <f>VLOOKUP(Y17,'впр данные'!A:B,2,1)</f>
        <v>координатор, страт-п-с-26-09</v>
      </c>
      <c r="AD17" t="str">
        <f>VLOOKUP(Y17,'впр данные'!A:C,3,1)</f>
        <v>координатор</v>
      </c>
    </row>
    <row r="18" spans="1:30" hidden="1" x14ac:dyDescent="0.3">
      <c r="A18">
        <v>419</v>
      </c>
      <c r="B18" t="s">
        <v>27</v>
      </c>
      <c r="C18" t="s">
        <v>28</v>
      </c>
      <c r="D18" t="s">
        <v>29</v>
      </c>
      <c r="G18" t="s">
        <v>30</v>
      </c>
      <c r="H18" t="s">
        <v>98</v>
      </c>
      <c r="I18" t="s">
        <v>93</v>
      </c>
      <c r="J18" t="s">
        <v>94</v>
      </c>
      <c r="L18" t="s">
        <v>34</v>
      </c>
      <c r="M18" t="s">
        <v>35</v>
      </c>
      <c r="N18" t="s">
        <v>36</v>
      </c>
      <c r="P18" t="s">
        <v>99</v>
      </c>
      <c r="S18" t="s">
        <v>30</v>
      </c>
      <c r="V18" t="s">
        <v>36</v>
      </c>
      <c r="W18" t="s">
        <v>36</v>
      </c>
      <c r="Y18" t="s">
        <v>96</v>
      </c>
      <c r="AA18" t="s">
        <v>100</v>
      </c>
      <c r="AB18" s="16" t="s">
        <v>898</v>
      </c>
      <c r="AC18" t="str">
        <f>VLOOKUP(Y18,'впр данные'!A:B,2,1)</f>
        <v>координатор, страт-п-с-26-09</v>
      </c>
      <c r="AD18" t="str">
        <f>VLOOKUP(Y18,'впр данные'!A:C,3,1)</f>
        <v>координатор</v>
      </c>
    </row>
    <row r="19" spans="1:30" hidden="1" x14ac:dyDescent="0.3">
      <c r="A19">
        <v>418</v>
      </c>
      <c r="B19" t="s">
        <v>27</v>
      </c>
      <c r="C19" t="s">
        <v>28</v>
      </c>
      <c r="D19" t="s">
        <v>29</v>
      </c>
      <c r="G19" t="s">
        <v>30</v>
      </c>
      <c r="H19" t="s">
        <v>101</v>
      </c>
      <c r="I19" t="s">
        <v>93</v>
      </c>
      <c r="J19" t="s">
        <v>94</v>
      </c>
      <c r="L19" t="s">
        <v>34</v>
      </c>
      <c r="M19" t="s">
        <v>35</v>
      </c>
      <c r="N19" t="s">
        <v>36</v>
      </c>
      <c r="P19" t="s">
        <v>102</v>
      </c>
      <c r="S19" t="s">
        <v>30</v>
      </c>
      <c r="V19" t="s">
        <v>36</v>
      </c>
      <c r="W19" t="s">
        <v>36</v>
      </c>
      <c r="Y19" t="s">
        <v>96</v>
      </c>
      <c r="AA19" t="s">
        <v>103</v>
      </c>
      <c r="AB19" s="16" t="s">
        <v>898</v>
      </c>
      <c r="AC19" t="str">
        <f>VLOOKUP(Y19,'впр данные'!A:B,2,1)</f>
        <v>координатор, страт-п-с-26-09</v>
      </c>
      <c r="AD19" t="str">
        <f>VLOOKUP(Y19,'впр данные'!A:C,3,1)</f>
        <v>координатор</v>
      </c>
    </row>
    <row r="20" spans="1:30" hidden="1" x14ac:dyDescent="0.3">
      <c r="A20">
        <v>417</v>
      </c>
      <c r="B20" t="s">
        <v>27</v>
      </c>
      <c r="C20" t="s">
        <v>28</v>
      </c>
      <c r="D20" t="s">
        <v>29</v>
      </c>
      <c r="G20" t="s">
        <v>30</v>
      </c>
      <c r="H20" t="s">
        <v>104</v>
      </c>
      <c r="I20" t="s">
        <v>93</v>
      </c>
      <c r="J20" t="s">
        <v>94</v>
      </c>
      <c r="L20" t="s">
        <v>34</v>
      </c>
      <c r="M20" t="s">
        <v>35</v>
      </c>
      <c r="N20" t="s">
        <v>36</v>
      </c>
      <c r="P20" t="s">
        <v>105</v>
      </c>
      <c r="S20" t="s">
        <v>30</v>
      </c>
      <c r="V20" t="s">
        <v>36</v>
      </c>
      <c r="W20" t="s">
        <v>36</v>
      </c>
      <c r="Y20" t="s">
        <v>96</v>
      </c>
      <c r="AA20" t="s">
        <v>106</v>
      </c>
      <c r="AB20" s="16" t="s">
        <v>898</v>
      </c>
      <c r="AC20" t="str">
        <f>VLOOKUP(Y20,'впр данные'!A:B,2,1)</f>
        <v>координатор, страт-п-с-26-09</v>
      </c>
      <c r="AD20" t="str">
        <f>VLOOKUP(Y20,'впр данные'!A:C,3,1)</f>
        <v>координатор</v>
      </c>
    </row>
    <row r="21" spans="1:30" hidden="1" x14ac:dyDescent="0.3">
      <c r="A21">
        <v>416</v>
      </c>
      <c r="B21" t="s">
        <v>27</v>
      </c>
      <c r="C21" t="s">
        <v>28</v>
      </c>
      <c r="D21" t="s">
        <v>29</v>
      </c>
      <c r="G21" t="s">
        <v>30</v>
      </c>
      <c r="H21" t="s">
        <v>107</v>
      </c>
      <c r="I21" t="s">
        <v>93</v>
      </c>
      <c r="J21" t="s">
        <v>94</v>
      </c>
      <c r="L21" t="s">
        <v>34</v>
      </c>
      <c r="M21" t="s">
        <v>35</v>
      </c>
      <c r="N21" t="s">
        <v>36</v>
      </c>
      <c r="P21" t="s">
        <v>108</v>
      </c>
      <c r="S21" t="s">
        <v>30</v>
      </c>
      <c r="V21" t="s">
        <v>36</v>
      </c>
      <c r="W21" t="s">
        <v>36</v>
      </c>
      <c r="Y21" t="s">
        <v>96</v>
      </c>
      <c r="AA21" t="s">
        <v>109</v>
      </c>
      <c r="AB21" s="16" t="s">
        <v>898</v>
      </c>
      <c r="AC21" t="str">
        <f>VLOOKUP(Y21,'впр данные'!A:B,2,1)</f>
        <v>координатор, страт-п-с-26-09</v>
      </c>
      <c r="AD21" t="str">
        <f>VLOOKUP(Y21,'впр данные'!A:C,3,1)</f>
        <v>координатор</v>
      </c>
    </row>
    <row r="22" spans="1:30" hidden="1" x14ac:dyDescent="0.3">
      <c r="A22">
        <v>415</v>
      </c>
      <c r="B22" t="s">
        <v>27</v>
      </c>
      <c r="C22" t="s">
        <v>28</v>
      </c>
      <c r="D22" t="s">
        <v>29</v>
      </c>
      <c r="G22" t="s">
        <v>30</v>
      </c>
      <c r="H22" t="s">
        <v>110</v>
      </c>
      <c r="I22" t="s">
        <v>93</v>
      </c>
      <c r="J22" t="s">
        <v>94</v>
      </c>
      <c r="L22" t="s">
        <v>34</v>
      </c>
      <c r="M22" t="s">
        <v>35</v>
      </c>
      <c r="N22" t="s">
        <v>36</v>
      </c>
      <c r="P22" t="s">
        <v>111</v>
      </c>
      <c r="S22" t="s">
        <v>30</v>
      </c>
      <c r="V22" t="s">
        <v>36</v>
      </c>
      <c r="W22" t="s">
        <v>36</v>
      </c>
      <c r="Y22" t="s">
        <v>96</v>
      </c>
      <c r="AA22" t="s">
        <v>112</v>
      </c>
      <c r="AB22" s="16" t="s">
        <v>898</v>
      </c>
      <c r="AC22" t="str">
        <f>VLOOKUP(Y22,'впр данные'!A:B,2,1)</f>
        <v>координатор, страт-п-с-26-09</v>
      </c>
      <c r="AD22" t="str">
        <f>VLOOKUP(Y22,'впр данные'!A:C,3,1)</f>
        <v>координатор</v>
      </c>
    </row>
    <row r="23" spans="1:30" hidden="1" x14ac:dyDescent="0.3">
      <c r="A23">
        <v>414</v>
      </c>
      <c r="B23" t="s">
        <v>27</v>
      </c>
      <c r="C23" t="s">
        <v>28</v>
      </c>
      <c r="D23" t="s">
        <v>29</v>
      </c>
      <c r="G23" t="s">
        <v>30</v>
      </c>
      <c r="H23" t="s">
        <v>113</v>
      </c>
      <c r="I23" t="s">
        <v>93</v>
      </c>
      <c r="J23" t="s">
        <v>94</v>
      </c>
      <c r="L23" t="s">
        <v>34</v>
      </c>
      <c r="M23" t="s">
        <v>35</v>
      </c>
      <c r="N23" t="s">
        <v>36</v>
      </c>
      <c r="P23" t="s">
        <v>114</v>
      </c>
      <c r="S23" t="s">
        <v>30</v>
      </c>
      <c r="V23" t="s">
        <v>36</v>
      </c>
      <c r="W23" t="s">
        <v>36</v>
      </c>
      <c r="Y23" t="s">
        <v>96</v>
      </c>
      <c r="AA23" t="s">
        <v>115</v>
      </c>
      <c r="AB23" s="16" t="s">
        <v>898</v>
      </c>
      <c r="AC23" t="str">
        <f>VLOOKUP(Y23,'впр данные'!A:B,2,1)</f>
        <v>координатор, страт-п-с-26-09</v>
      </c>
      <c r="AD23" t="str">
        <f>VLOOKUP(Y23,'впр данные'!A:C,3,1)</f>
        <v>координатор</v>
      </c>
    </row>
    <row r="24" spans="1:30" hidden="1" x14ac:dyDescent="0.3">
      <c r="A24">
        <v>413</v>
      </c>
      <c r="B24" t="s">
        <v>27</v>
      </c>
      <c r="C24" t="s">
        <v>28</v>
      </c>
      <c r="D24" t="s">
        <v>29</v>
      </c>
      <c r="G24" t="s">
        <v>30</v>
      </c>
      <c r="H24" t="s">
        <v>116</v>
      </c>
      <c r="I24" t="s">
        <v>93</v>
      </c>
      <c r="J24" t="s">
        <v>94</v>
      </c>
      <c r="L24" t="s">
        <v>34</v>
      </c>
      <c r="M24" t="s">
        <v>35</v>
      </c>
      <c r="N24" t="s">
        <v>36</v>
      </c>
      <c r="P24" t="s">
        <v>117</v>
      </c>
      <c r="S24" t="s">
        <v>30</v>
      </c>
      <c r="V24" t="s">
        <v>36</v>
      </c>
      <c r="W24" t="s">
        <v>36</v>
      </c>
      <c r="Y24" t="s">
        <v>96</v>
      </c>
      <c r="AA24" t="s">
        <v>118</v>
      </c>
      <c r="AB24" s="16" t="s">
        <v>898</v>
      </c>
      <c r="AC24" t="str">
        <f>VLOOKUP(Y24,'впр данные'!A:B,2,1)</f>
        <v>координатор, страт-п-с-26-09</v>
      </c>
      <c r="AD24" t="str">
        <f>VLOOKUP(Y24,'впр данные'!A:C,3,1)</f>
        <v>координатор</v>
      </c>
    </row>
    <row r="25" spans="1:30" hidden="1" x14ac:dyDescent="0.3">
      <c r="A25">
        <v>412</v>
      </c>
      <c r="B25" t="s">
        <v>27</v>
      </c>
      <c r="C25" t="s">
        <v>28</v>
      </c>
      <c r="D25" t="s">
        <v>29</v>
      </c>
      <c r="G25" t="s">
        <v>30</v>
      </c>
      <c r="H25" t="s">
        <v>119</v>
      </c>
      <c r="I25" t="s">
        <v>93</v>
      </c>
      <c r="J25" t="s">
        <v>94</v>
      </c>
      <c r="L25" t="s">
        <v>34</v>
      </c>
      <c r="M25" t="s">
        <v>35</v>
      </c>
      <c r="N25" t="s">
        <v>36</v>
      </c>
      <c r="P25" t="s">
        <v>120</v>
      </c>
      <c r="S25" t="s">
        <v>30</v>
      </c>
      <c r="V25" t="s">
        <v>36</v>
      </c>
      <c r="W25" t="s">
        <v>36</v>
      </c>
      <c r="Y25" t="s">
        <v>96</v>
      </c>
      <c r="AA25" t="s">
        <v>121</v>
      </c>
      <c r="AB25" s="16" t="s">
        <v>898</v>
      </c>
      <c r="AC25" t="str">
        <f>VLOOKUP(Y25,'впр данные'!A:B,2,1)</f>
        <v>координатор, страт-п-с-26-09</v>
      </c>
      <c r="AD25" t="str">
        <f>VLOOKUP(Y25,'впр данные'!A:C,3,1)</f>
        <v>координатор</v>
      </c>
    </row>
    <row r="26" spans="1:30" hidden="1" x14ac:dyDescent="0.3">
      <c r="A26">
        <v>411</v>
      </c>
      <c r="B26" t="s">
        <v>27</v>
      </c>
      <c r="C26" t="s">
        <v>28</v>
      </c>
      <c r="D26" t="s">
        <v>29</v>
      </c>
      <c r="G26" t="s">
        <v>30</v>
      </c>
      <c r="H26" t="s">
        <v>122</v>
      </c>
      <c r="I26" t="s">
        <v>93</v>
      </c>
      <c r="J26" t="s">
        <v>94</v>
      </c>
      <c r="L26" t="s">
        <v>34</v>
      </c>
      <c r="M26" t="s">
        <v>35</v>
      </c>
      <c r="N26" t="s">
        <v>36</v>
      </c>
      <c r="P26" t="s">
        <v>123</v>
      </c>
      <c r="S26" t="s">
        <v>30</v>
      </c>
      <c r="V26" t="s">
        <v>36</v>
      </c>
      <c r="W26" t="s">
        <v>36</v>
      </c>
      <c r="Y26" t="s">
        <v>96</v>
      </c>
      <c r="AA26" t="s">
        <v>124</v>
      </c>
      <c r="AB26" s="16" t="s">
        <v>898</v>
      </c>
      <c r="AC26" t="str">
        <f>VLOOKUP(Y26,'впр данные'!A:B,2,1)</f>
        <v>координатор, страт-п-с-26-09</v>
      </c>
      <c r="AD26" t="str">
        <f>VLOOKUP(Y26,'впр данные'!A:C,3,1)</f>
        <v>координатор</v>
      </c>
    </row>
    <row r="27" spans="1:30" hidden="1" x14ac:dyDescent="0.3">
      <c r="A27">
        <v>410</v>
      </c>
      <c r="B27" t="s">
        <v>27</v>
      </c>
      <c r="C27" t="s">
        <v>28</v>
      </c>
      <c r="D27" t="s">
        <v>29</v>
      </c>
      <c r="G27" t="s">
        <v>30</v>
      </c>
      <c r="H27" t="s">
        <v>125</v>
      </c>
      <c r="I27" t="s">
        <v>93</v>
      </c>
      <c r="J27" t="s">
        <v>94</v>
      </c>
      <c r="L27" t="s">
        <v>34</v>
      </c>
      <c r="M27" t="s">
        <v>35</v>
      </c>
      <c r="N27" t="s">
        <v>36</v>
      </c>
      <c r="P27" t="s">
        <v>126</v>
      </c>
      <c r="S27" t="s">
        <v>30</v>
      </c>
      <c r="V27" t="s">
        <v>36</v>
      </c>
      <c r="W27" t="s">
        <v>36</v>
      </c>
      <c r="Y27" t="s">
        <v>96</v>
      </c>
      <c r="AA27" t="s">
        <v>127</v>
      </c>
      <c r="AB27" s="16" t="s">
        <v>898</v>
      </c>
      <c r="AC27" t="str">
        <f>VLOOKUP(Y27,'впр данные'!A:B,2,1)</f>
        <v>координатор, страт-п-с-26-09</v>
      </c>
      <c r="AD27" t="str">
        <f>VLOOKUP(Y27,'впр данные'!A:C,3,1)</f>
        <v>координатор</v>
      </c>
    </row>
    <row r="28" spans="1:30" hidden="1" x14ac:dyDescent="0.3">
      <c r="A28">
        <v>408</v>
      </c>
      <c r="B28" t="s">
        <v>27</v>
      </c>
      <c r="C28" t="s">
        <v>28</v>
      </c>
      <c r="D28" t="s">
        <v>29</v>
      </c>
      <c r="G28" t="s">
        <v>30</v>
      </c>
      <c r="H28" t="s">
        <v>128</v>
      </c>
      <c r="I28" t="s">
        <v>93</v>
      </c>
      <c r="J28" t="s">
        <v>94</v>
      </c>
      <c r="L28" t="s">
        <v>34</v>
      </c>
      <c r="M28" t="s">
        <v>35</v>
      </c>
      <c r="N28" t="s">
        <v>36</v>
      </c>
      <c r="P28" t="s">
        <v>129</v>
      </c>
      <c r="S28" t="s">
        <v>30</v>
      </c>
      <c r="V28" t="s">
        <v>36</v>
      </c>
      <c r="W28" t="s">
        <v>36</v>
      </c>
      <c r="Y28" t="s">
        <v>96</v>
      </c>
      <c r="AA28" t="s">
        <v>130</v>
      </c>
      <c r="AB28" s="16" t="s">
        <v>898</v>
      </c>
      <c r="AC28" t="str">
        <f>VLOOKUP(Y28,'впр данные'!A:B,2,1)</f>
        <v>координатор, страт-п-с-26-09</v>
      </c>
      <c r="AD28" t="str">
        <f>VLOOKUP(Y28,'впр данные'!A:C,3,1)</f>
        <v>координатор</v>
      </c>
    </row>
    <row r="29" spans="1:30" hidden="1" x14ac:dyDescent="0.3">
      <c r="A29">
        <v>407</v>
      </c>
      <c r="B29" t="s">
        <v>27</v>
      </c>
      <c r="C29" t="s">
        <v>28</v>
      </c>
      <c r="D29" t="s">
        <v>29</v>
      </c>
      <c r="G29" t="s">
        <v>30</v>
      </c>
      <c r="H29" t="s">
        <v>131</v>
      </c>
      <c r="I29" t="s">
        <v>132</v>
      </c>
      <c r="J29" t="s">
        <v>133</v>
      </c>
      <c r="L29" t="s">
        <v>34</v>
      </c>
      <c r="M29" t="s">
        <v>35</v>
      </c>
      <c r="N29" t="s">
        <v>36</v>
      </c>
      <c r="P29" t="s">
        <v>134</v>
      </c>
      <c r="S29" t="s">
        <v>30</v>
      </c>
      <c r="V29" t="s">
        <v>36</v>
      </c>
      <c r="W29" t="s">
        <v>36</v>
      </c>
      <c r="Y29" t="s">
        <v>96</v>
      </c>
      <c r="AA29" t="s">
        <v>135</v>
      </c>
      <c r="AB29" s="16" t="s">
        <v>898</v>
      </c>
      <c r="AC29" t="str">
        <f>VLOOKUP(Y29,'впр данные'!A:B,2,1)</f>
        <v>координатор, страт-п-с-26-09</v>
      </c>
      <c r="AD29" t="str">
        <f>VLOOKUP(Y29,'впр данные'!A:C,3,1)</f>
        <v>координатор</v>
      </c>
    </row>
    <row r="30" spans="1:30" hidden="1" x14ac:dyDescent="0.3">
      <c r="A30">
        <v>406</v>
      </c>
      <c r="B30" t="s">
        <v>27</v>
      </c>
      <c r="C30" t="s">
        <v>28</v>
      </c>
      <c r="D30" t="s">
        <v>29</v>
      </c>
      <c r="G30" t="s">
        <v>30</v>
      </c>
      <c r="H30" t="s">
        <v>136</v>
      </c>
      <c r="I30" t="s">
        <v>132</v>
      </c>
      <c r="J30" t="s">
        <v>133</v>
      </c>
      <c r="L30" t="s">
        <v>34</v>
      </c>
      <c r="M30" t="s">
        <v>35</v>
      </c>
      <c r="N30" t="s">
        <v>36</v>
      </c>
      <c r="P30" t="s">
        <v>137</v>
      </c>
      <c r="S30" t="s">
        <v>30</v>
      </c>
      <c r="V30" t="s">
        <v>36</v>
      </c>
      <c r="W30" t="s">
        <v>36</v>
      </c>
      <c r="Y30" t="s">
        <v>96</v>
      </c>
      <c r="AA30" t="s">
        <v>138</v>
      </c>
      <c r="AB30" s="16" t="s">
        <v>898</v>
      </c>
      <c r="AC30" t="str">
        <f>VLOOKUP(Y30,'впр данные'!A:B,2,1)</f>
        <v>координатор, страт-п-с-26-09</v>
      </c>
      <c r="AD30" t="str">
        <f>VLOOKUP(Y30,'впр данные'!A:C,3,1)</f>
        <v>координатор</v>
      </c>
    </row>
    <row r="31" spans="1:30" hidden="1" x14ac:dyDescent="0.3">
      <c r="A31">
        <v>405</v>
      </c>
      <c r="B31" t="s">
        <v>27</v>
      </c>
      <c r="C31" t="s">
        <v>28</v>
      </c>
      <c r="D31" t="s">
        <v>29</v>
      </c>
      <c r="G31" t="s">
        <v>30</v>
      </c>
      <c r="H31" t="s">
        <v>139</v>
      </c>
      <c r="I31" t="s">
        <v>132</v>
      </c>
      <c r="J31" t="s">
        <v>133</v>
      </c>
      <c r="L31" t="s">
        <v>34</v>
      </c>
      <c r="M31" t="s">
        <v>35</v>
      </c>
      <c r="N31" t="s">
        <v>36</v>
      </c>
      <c r="P31" t="s">
        <v>140</v>
      </c>
      <c r="S31" t="s">
        <v>30</v>
      </c>
      <c r="V31" t="s">
        <v>36</v>
      </c>
      <c r="W31" t="s">
        <v>36</v>
      </c>
      <c r="Y31" t="s">
        <v>96</v>
      </c>
      <c r="AA31" t="s">
        <v>141</v>
      </c>
      <c r="AB31" s="16" t="s">
        <v>898</v>
      </c>
      <c r="AC31" t="str">
        <f>VLOOKUP(Y31,'впр данные'!A:B,2,1)</f>
        <v>координатор, страт-п-с-26-09</v>
      </c>
      <c r="AD31" t="str">
        <f>VLOOKUP(Y31,'впр данные'!A:C,3,1)</f>
        <v>координатор</v>
      </c>
    </row>
    <row r="32" spans="1:30" hidden="1" x14ac:dyDescent="0.3">
      <c r="A32">
        <v>404</v>
      </c>
      <c r="B32" t="s">
        <v>27</v>
      </c>
      <c r="C32" t="s">
        <v>28</v>
      </c>
      <c r="D32" t="s">
        <v>29</v>
      </c>
      <c r="G32" t="s">
        <v>30</v>
      </c>
      <c r="H32" t="s">
        <v>142</v>
      </c>
      <c r="I32" t="s">
        <v>132</v>
      </c>
      <c r="J32" t="s">
        <v>133</v>
      </c>
      <c r="L32" t="s">
        <v>34</v>
      </c>
      <c r="M32" t="s">
        <v>35</v>
      </c>
      <c r="N32" t="s">
        <v>36</v>
      </c>
      <c r="P32" t="s">
        <v>143</v>
      </c>
      <c r="S32" t="s">
        <v>30</v>
      </c>
      <c r="V32" t="s">
        <v>36</v>
      </c>
      <c r="W32" t="s">
        <v>36</v>
      </c>
      <c r="Y32" t="s">
        <v>96</v>
      </c>
      <c r="AA32" t="s">
        <v>144</v>
      </c>
      <c r="AB32" s="16" t="s">
        <v>898</v>
      </c>
      <c r="AC32" t="str">
        <f>VLOOKUP(Y32,'впр данные'!A:B,2,1)</f>
        <v>координатор, страт-п-с-26-09</v>
      </c>
      <c r="AD32" t="str">
        <f>VLOOKUP(Y32,'впр данные'!A:C,3,1)</f>
        <v>координатор</v>
      </c>
    </row>
    <row r="33" spans="1:30" hidden="1" x14ac:dyDescent="0.3">
      <c r="A33">
        <v>403</v>
      </c>
      <c r="B33" t="s">
        <v>27</v>
      </c>
      <c r="C33" t="s">
        <v>28</v>
      </c>
      <c r="D33" t="s">
        <v>29</v>
      </c>
      <c r="G33" t="s">
        <v>30</v>
      </c>
      <c r="H33" t="s">
        <v>145</v>
      </c>
      <c r="I33" t="s">
        <v>132</v>
      </c>
      <c r="J33" t="s">
        <v>133</v>
      </c>
      <c r="L33" t="s">
        <v>34</v>
      </c>
      <c r="M33" t="s">
        <v>35</v>
      </c>
      <c r="N33" t="s">
        <v>36</v>
      </c>
      <c r="P33" t="s">
        <v>146</v>
      </c>
      <c r="S33" t="s">
        <v>30</v>
      </c>
      <c r="V33" t="s">
        <v>36</v>
      </c>
      <c r="W33" t="s">
        <v>36</v>
      </c>
      <c r="Y33" t="s">
        <v>96</v>
      </c>
      <c r="AA33" t="s">
        <v>147</v>
      </c>
      <c r="AB33" s="16" t="s">
        <v>898</v>
      </c>
      <c r="AC33" t="str">
        <f>VLOOKUP(Y33,'впр данные'!A:B,2,1)</f>
        <v>координатор, страт-п-с-26-09</v>
      </c>
      <c r="AD33" t="str">
        <f>VLOOKUP(Y33,'впр данные'!A:C,3,1)</f>
        <v>координатор</v>
      </c>
    </row>
    <row r="34" spans="1:30" hidden="1" x14ac:dyDescent="0.3">
      <c r="A34">
        <v>402</v>
      </c>
      <c r="B34" t="s">
        <v>27</v>
      </c>
      <c r="C34" t="s">
        <v>28</v>
      </c>
      <c r="D34" t="s">
        <v>29</v>
      </c>
      <c r="G34" t="s">
        <v>30</v>
      </c>
      <c r="H34" t="s">
        <v>148</v>
      </c>
      <c r="I34" t="s">
        <v>132</v>
      </c>
      <c r="J34" t="s">
        <v>133</v>
      </c>
      <c r="L34" t="s">
        <v>34</v>
      </c>
      <c r="M34" t="s">
        <v>35</v>
      </c>
      <c r="N34" t="s">
        <v>36</v>
      </c>
      <c r="P34" t="s">
        <v>149</v>
      </c>
      <c r="S34" t="s">
        <v>30</v>
      </c>
      <c r="V34" t="s">
        <v>36</v>
      </c>
      <c r="W34" t="s">
        <v>36</v>
      </c>
      <c r="Y34" t="s">
        <v>96</v>
      </c>
      <c r="AA34" t="s">
        <v>150</v>
      </c>
      <c r="AB34" s="16" t="s">
        <v>898</v>
      </c>
      <c r="AC34" t="str">
        <f>VLOOKUP(Y34,'впр данные'!A:B,2,1)</f>
        <v>координатор, страт-п-с-26-09</v>
      </c>
      <c r="AD34" t="str">
        <f>VLOOKUP(Y34,'впр данные'!A:C,3,1)</f>
        <v>координатор</v>
      </c>
    </row>
    <row r="35" spans="1:30" hidden="1" x14ac:dyDescent="0.3">
      <c r="A35">
        <v>401</v>
      </c>
      <c r="B35" t="s">
        <v>27</v>
      </c>
      <c r="C35" t="s">
        <v>28</v>
      </c>
      <c r="D35" t="s">
        <v>29</v>
      </c>
      <c r="G35" t="s">
        <v>30</v>
      </c>
      <c r="H35" t="s">
        <v>151</v>
      </c>
      <c r="I35" t="s">
        <v>132</v>
      </c>
      <c r="J35" t="s">
        <v>133</v>
      </c>
      <c r="L35" t="s">
        <v>34</v>
      </c>
      <c r="M35" t="s">
        <v>35</v>
      </c>
      <c r="N35" t="s">
        <v>36</v>
      </c>
      <c r="P35" t="s">
        <v>152</v>
      </c>
      <c r="S35" t="s">
        <v>30</v>
      </c>
      <c r="V35" t="s">
        <v>36</v>
      </c>
      <c r="W35" t="s">
        <v>36</v>
      </c>
      <c r="Y35" t="s">
        <v>96</v>
      </c>
      <c r="AA35" t="s">
        <v>153</v>
      </c>
      <c r="AB35" s="16" t="s">
        <v>898</v>
      </c>
      <c r="AC35" t="str">
        <f>VLOOKUP(Y35,'впр данные'!A:B,2,1)</f>
        <v>координатор, страт-п-с-26-09</v>
      </c>
      <c r="AD35" t="str">
        <f>VLOOKUP(Y35,'впр данные'!A:C,3,1)</f>
        <v>координатор</v>
      </c>
    </row>
    <row r="36" spans="1:30" hidden="1" x14ac:dyDescent="0.3">
      <c r="A36">
        <v>400</v>
      </c>
      <c r="B36" t="s">
        <v>27</v>
      </c>
      <c r="C36" t="s">
        <v>28</v>
      </c>
      <c r="D36" t="s">
        <v>29</v>
      </c>
      <c r="G36" t="s">
        <v>30</v>
      </c>
      <c r="H36" t="s">
        <v>154</v>
      </c>
      <c r="I36" t="s">
        <v>132</v>
      </c>
      <c r="J36" t="s">
        <v>133</v>
      </c>
      <c r="L36" t="s">
        <v>34</v>
      </c>
      <c r="M36" t="s">
        <v>35</v>
      </c>
      <c r="N36" t="s">
        <v>36</v>
      </c>
      <c r="P36" t="s">
        <v>155</v>
      </c>
      <c r="S36" t="s">
        <v>30</v>
      </c>
      <c r="V36" t="s">
        <v>36</v>
      </c>
      <c r="W36" t="s">
        <v>36</v>
      </c>
      <c r="Y36" t="s">
        <v>96</v>
      </c>
      <c r="AA36" t="s">
        <v>156</v>
      </c>
      <c r="AB36" s="16" t="s">
        <v>898</v>
      </c>
      <c r="AC36" t="str">
        <f>VLOOKUP(Y36,'впр данные'!A:B,2,1)</f>
        <v>координатор, страт-п-с-26-09</v>
      </c>
      <c r="AD36" t="str">
        <f>VLOOKUP(Y36,'впр данные'!A:C,3,1)</f>
        <v>координатор</v>
      </c>
    </row>
    <row r="37" spans="1:30" hidden="1" x14ac:dyDescent="0.3">
      <c r="A37">
        <v>399</v>
      </c>
      <c r="B37" t="s">
        <v>27</v>
      </c>
      <c r="C37" t="s">
        <v>28</v>
      </c>
      <c r="D37" t="s">
        <v>29</v>
      </c>
      <c r="G37" t="s">
        <v>30</v>
      </c>
      <c r="H37" t="s">
        <v>157</v>
      </c>
      <c r="I37" t="s">
        <v>132</v>
      </c>
      <c r="J37" t="s">
        <v>133</v>
      </c>
      <c r="L37" t="s">
        <v>34</v>
      </c>
      <c r="M37" t="s">
        <v>35</v>
      </c>
      <c r="N37" t="s">
        <v>36</v>
      </c>
      <c r="P37" t="s">
        <v>158</v>
      </c>
      <c r="S37" t="s">
        <v>30</v>
      </c>
      <c r="V37" t="s">
        <v>36</v>
      </c>
      <c r="W37" t="s">
        <v>36</v>
      </c>
      <c r="Y37" t="s">
        <v>96</v>
      </c>
      <c r="AA37" t="s">
        <v>159</v>
      </c>
      <c r="AB37" s="16" t="s">
        <v>898</v>
      </c>
      <c r="AC37" t="str">
        <f>VLOOKUP(Y37,'впр данные'!A:B,2,1)</f>
        <v>координатор, страт-п-с-26-09</v>
      </c>
      <c r="AD37" t="str">
        <f>VLOOKUP(Y37,'впр данные'!A:C,3,1)</f>
        <v>координатор</v>
      </c>
    </row>
    <row r="38" spans="1:30" hidden="1" x14ac:dyDescent="0.3">
      <c r="A38">
        <v>398</v>
      </c>
      <c r="B38" t="s">
        <v>27</v>
      </c>
      <c r="C38" t="s">
        <v>28</v>
      </c>
      <c r="D38" t="s">
        <v>29</v>
      </c>
      <c r="G38" t="s">
        <v>30</v>
      </c>
      <c r="H38" t="s">
        <v>160</v>
      </c>
      <c r="I38" t="s">
        <v>132</v>
      </c>
      <c r="J38" t="s">
        <v>133</v>
      </c>
      <c r="L38" t="s">
        <v>34</v>
      </c>
      <c r="M38" t="s">
        <v>35</v>
      </c>
      <c r="N38" t="s">
        <v>36</v>
      </c>
      <c r="P38" t="s">
        <v>161</v>
      </c>
      <c r="S38" t="s">
        <v>30</v>
      </c>
      <c r="V38" t="s">
        <v>36</v>
      </c>
      <c r="W38" t="s">
        <v>36</v>
      </c>
      <c r="Y38" t="s">
        <v>96</v>
      </c>
      <c r="AA38" t="s">
        <v>162</v>
      </c>
      <c r="AB38" s="16" t="s">
        <v>898</v>
      </c>
      <c r="AC38" t="str">
        <f>VLOOKUP(Y38,'впр данные'!A:B,2,1)</f>
        <v>координатор, страт-п-с-26-09</v>
      </c>
      <c r="AD38" t="str">
        <f>VLOOKUP(Y38,'впр данные'!A:C,3,1)</f>
        <v>координатор</v>
      </c>
    </row>
    <row r="39" spans="1:30" hidden="1" x14ac:dyDescent="0.3">
      <c r="A39">
        <v>397</v>
      </c>
      <c r="B39" t="s">
        <v>27</v>
      </c>
      <c r="C39" t="s">
        <v>28</v>
      </c>
      <c r="D39" t="s">
        <v>29</v>
      </c>
      <c r="G39" t="s">
        <v>30</v>
      </c>
      <c r="H39" t="s">
        <v>163</v>
      </c>
      <c r="I39" t="s">
        <v>164</v>
      </c>
      <c r="J39" t="s">
        <v>165</v>
      </c>
      <c r="L39" t="s">
        <v>34</v>
      </c>
      <c r="M39" t="s">
        <v>35</v>
      </c>
      <c r="N39" t="s">
        <v>36</v>
      </c>
      <c r="P39" t="s">
        <v>166</v>
      </c>
      <c r="S39" t="s">
        <v>30</v>
      </c>
      <c r="V39" t="s">
        <v>36</v>
      </c>
      <c r="W39" t="s">
        <v>36</v>
      </c>
      <c r="Y39" t="s">
        <v>96</v>
      </c>
      <c r="AA39" t="s">
        <v>167</v>
      </c>
      <c r="AB39" s="16" t="s">
        <v>898</v>
      </c>
      <c r="AC39" t="str">
        <f>VLOOKUP(Y39,'впр данные'!A:B,2,1)</f>
        <v>координатор, страт-п-с-26-09</v>
      </c>
      <c r="AD39" t="str">
        <f>VLOOKUP(Y39,'впр данные'!A:C,3,1)</f>
        <v>координатор</v>
      </c>
    </row>
    <row r="40" spans="1:30" hidden="1" x14ac:dyDescent="0.3">
      <c r="A40">
        <v>396</v>
      </c>
      <c r="B40" t="s">
        <v>27</v>
      </c>
      <c r="C40" t="s">
        <v>28</v>
      </c>
      <c r="D40" t="s">
        <v>29</v>
      </c>
      <c r="G40" t="s">
        <v>30</v>
      </c>
      <c r="H40" t="s">
        <v>168</v>
      </c>
      <c r="I40" t="s">
        <v>164</v>
      </c>
      <c r="J40" t="s">
        <v>165</v>
      </c>
      <c r="L40" t="s">
        <v>34</v>
      </c>
      <c r="M40" t="s">
        <v>35</v>
      </c>
      <c r="N40" t="s">
        <v>36</v>
      </c>
      <c r="P40" t="s">
        <v>169</v>
      </c>
      <c r="S40" t="s">
        <v>30</v>
      </c>
      <c r="V40" t="s">
        <v>36</v>
      </c>
      <c r="W40" t="s">
        <v>36</v>
      </c>
      <c r="Y40" t="s">
        <v>96</v>
      </c>
      <c r="AA40" t="s">
        <v>170</v>
      </c>
      <c r="AB40" s="16" t="s">
        <v>898</v>
      </c>
      <c r="AC40" t="str">
        <f>VLOOKUP(Y40,'впр данные'!A:B,2,1)</f>
        <v>координатор, страт-п-с-26-09</v>
      </c>
      <c r="AD40" t="str">
        <f>VLOOKUP(Y40,'впр данные'!A:C,3,1)</f>
        <v>координатор</v>
      </c>
    </row>
    <row r="41" spans="1:30" hidden="1" x14ac:dyDescent="0.3">
      <c r="A41">
        <v>395</v>
      </c>
      <c r="B41" t="s">
        <v>27</v>
      </c>
      <c r="C41" t="s">
        <v>28</v>
      </c>
      <c r="D41" t="s">
        <v>29</v>
      </c>
      <c r="G41" t="s">
        <v>30</v>
      </c>
      <c r="H41" t="s">
        <v>171</v>
      </c>
      <c r="I41" t="s">
        <v>164</v>
      </c>
      <c r="J41" t="s">
        <v>172</v>
      </c>
      <c r="L41" t="s">
        <v>34</v>
      </c>
      <c r="M41" t="s">
        <v>35</v>
      </c>
      <c r="N41" t="s">
        <v>36</v>
      </c>
      <c r="P41" t="s">
        <v>173</v>
      </c>
      <c r="S41" t="s">
        <v>30</v>
      </c>
      <c r="V41" t="s">
        <v>36</v>
      </c>
      <c r="W41" t="s">
        <v>36</v>
      </c>
      <c r="Y41" t="s">
        <v>96</v>
      </c>
      <c r="AA41" t="s">
        <v>174</v>
      </c>
      <c r="AB41" s="16" t="s">
        <v>898</v>
      </c>
      <c r="AC41" t="str">
        <f>VLOOKUP(Y41,'впр данные'!A:B,2,1)</f>
        <v>координатор, страт-п-с-26-09</v>
      </c>
      <c r="AD41" t="str">
        <f>VLOOKUP(Y41,'впр данные'!A:C,3,1)</f>
        <v>координатор</v>
      </c>
    </row>
    <row r="42" spans="1:30" hidden="1" x14ac:dyDescent="0.3">
      <c r="A42">
        <v>394</v>
      </c>
      <c r="B42" t="s">
        <v>27</v>
      </c>
      <c r="C42" t="s">
        <v>28</v>
      </c>
      <c r="D42" t="s">
        <v>29</v>
      </c>
      <c r="G42" t="s">
        <v>30</v>
      </c>
      <c r="H42" t="s">
        <v>175</v>
      </c>
      <c r="I42" t="s">
        <v>164</v>
      </c>
      <c r="J42" t="s">
        <v>172</v>
      </c>
      <c r="L42" t="s">
        <v>34</v>
      </c>
      <c r="M42" t="s">
        <v>35</v>
      </c>
      <c r="N42" t="s">
        <v>36</v>
      </c>
      <c r="P42" t="s">
        <v>176</v>
      </c>
      <c r="S42" t="s">
        <v>30</v>
      </c>
      <c r="V42" t="s">
        <v>36</v>
      </c>
      <c r="W42" t="s">
        <v>36</v>
      </c>
      <c r="Y42" t="s">
        <v>96</v>
      </c>
      <c r="AA42" t="s">
        <v>177</v>
      </c>
      <c r="AB42" s="16" t="s">
        <v>898</v>
      </c>
      <c r="AC42" t="str">
        <f>VLOOKUP(Y42,'впр данные'!A:B,2,1)</f>
        <v>координатор, страт-п-с-26-09</v>
      </c>
      <c r="AD42" t="str">
        <f>VLOOKUP(Y42,'впр данные'!A:C,3,1)</f>
        <v>координатор</v>
      </c>
    </row>
    <row r="43" spans="1:30" hidden="1" x14ac:dyDescent="0.3">
      <c r="A43">
        <v>393</v>
      </c>
      <c r="B43" t="s">
        <v>27</v>
      </c>
      <c r="C43" t="s">
        <v>28</v>
      </c>
      <c r="D43" t="s">
        <v>29</v>
      </c>
      <c r="G43" t="s">
        <v>30</v>
      </c>
      <c r="H43" t="s">
        <v>178</v>
      </c>
      <c r="I43" t="s">
        <v>164</v>
      </c>
      <c r="J43" t="s">
        <v>172</v>
      </c>
      <c r="L43" t="s">
        <v>34</v>
      </c>
      <c r="M43" t="s">
        <v>35</v>
      </c>
      <c r="N43" t="s">
        <v>36</v>
      </c>
      <c r="P43" t="s">
        <v>179</v>
      </c>
      <c r="S43" t="s">
        <v>30</v>
      </c>
      <c r="V43" t="s">
        <v>36</v>
      </c>
      <c r="W43" t="s">
        <v>36</v>
      </c>
      <c r="Y43" t="s">
        <v>96</v>
      </c>
      <c r="AA43" t="s">
        <v>180</v>
      </c>
      <c r="AB43" s="16" t="s">
        <v>898</v>
      </c>
      <c r="AC43" t="str">
        <f>VLOOKUP(Y43,'впр данные'!A:B,2,1)</f>
        <v>координатор, страт-п-с-26-09</v>
      </c>
      <c r="AD43" t="str">
        <f>VLOOKUP(Y43,'впр данные'!A:C,3,1)</f>
        <v>координатор</v>
      </c>
    </row>
    <row r="44" spans="1:30" hidden="1" x14ac:dyDescent="0.3">
      <c r="A44">
        <v>392</v>
      </c>
      <c r="B44" t="s">
        <v>27</v>
      </c>
      <c r="C44" t="s">
        <v>28</v>
      </c>
      <c r="D44" t="s">
        <v>29</v>
      </c>
      <c r="G44" t="s">
        <v>30</v>
      </c>
      <c r="H44" t="s">
        <v>181</v>
      </c>
      <c r="I44" t="s">
        <v>164</v>
      </c>
      <c r="J44" t="s">
        <v>172</v>
      </c>
      <c r="L44" t="s">
        <v>34</v>
      </c>
      <c r="M44" t="s">
        <v>35</v>
      </c>
      <c r="N44" t="s">
        <v>36</v>
      </c>
      <c r="P44" t="s">
        <v>182</v>
      </c>
      <c r="S44" t="s">
        <v>30</v>
      </c>
      <c r="V44" t="s">
        <v>36</v>
      </c>
      <c r="W44" t="s">
        <v>36</v>
      </c>
      <c r="Y44" t="s">
        <v>96</v>
      </c>
      <c r="AA44" t="s">
        <v>183</v>
      </c>
      <c r="AB44" s="16" t="s">
        <v>898</v>
      </c>
      <c r="AC44" t="str">
        <f>VLOOKUP(Y44,'впр данные'!A:B,2,1)</f>
        <v>координатор, страт-п-с-26-09</v>
      </c>
      <c r="AD44" t="str">
        <f>VLOOKUP(Y44,'впр данные'!A:C,3,1)</f>
        <v>координатор</v>
      </c>
    </row>
    <row r="45" spans="1:30" hidden="1" x14ac:dyDescent="0.3">
      <c r="A45">
        <v>391</v>
      </c>
      <c r="B45" t="s">
        <v>27</v>
      </c>
      <c r="C45" t="s">
        <v>28</v>
      </c>
      <c r="D45" t="s">
        <v>29</v>
      </c>
      <c r="G45" t="s">
        <v>30</v>
      </c>
      <c r="H45" t="s">
        <v>184</v>
      </c>
      <c r="I45" t="s">
        <v>185</v>
      </c>
      <c r="J45" t="s">
        <v>186</v>
      </c>
      <c r="L45" t="s">
        <v>34</v>
      </c>
      <c r="M45" t="s">
        <v>35</v>
      </c>
      <c r="N45" t="s">
        <v>36</v>
      </c>
      <c r="P45" t="s">
        <v>187</v>
      </c>
      <c r="S45" t="s">
        <v>30</v>
      </c>
      <c r="V45" t="s">
        <v>36</v>
      </c>
      <c r="W45" t="s">
        <v>36</v>
      </c>
      <c r="Y45" t="s">
        <v>96</v>
      </c>
      <c r="AA45" t="s">
        <v>188</v>
      </c>
      <c r="AB45" s="16" t="s">
        <v>898</v>
      </c>
      <c r="AC45" t="str">
        <f>VLOOKUP(Y45,'впр данные'!A:B,2,1)</f>
        <v>координатор, страт-п-с-26-09</v>
      </c>
      <c r="AD45" t="str">
        <f>VLOOKUP(Y45,'впр данные'!A:C,3,1)</f>
        <v>координатор</v>
      </c>
    </row>
    <row r="46" spans="1:30" hidden="1" x14ac:dyDescent="0.3">
      <c r="A46">
        <v>390</v>
      </c>
      <c r="B46" t="s">
        <v>27</v>
      </c>
      <c r="C46" t="s">
        <v>28</v>
      </c>
      <c r="D46" t="s">
        <v>29</v>
      </c>
      <c r="G46" t="s">
        <v>30</v>
      </c>
      <c r="H46" t="s">
        <v>189</v>
      </c>
      <c r="I46" t="s">
        <v>185</v>
      </c>
      <c r="J46" t="s">
        <v>186</v>
      </c>
      <c r="L46" t="s">
        <v>34</v>
      </c>
      <c r="M46" t="s">
        <v>35</v>
      </c>
      <c r="N46" t="s">
        <v>36</v>
      </c>
      <c r="P46" t="s">
        <v>190</v>
      </c>
      <c r="S46" t="s">
        <v>30</v>
      </c>
      <c r="V46" t="s">
        <v>36</v>
      </c>
      <c r="W46" t="s">
        <v>36</v>
      </c>
      <c r="Y46" t="s">
        <v>96</v>
      </c>
      <c r="AA46" t="s">
        <v>191</v>
      </c>
      <c r="AB46" s="16" t="s">
        <v>898</v>
      </c>
      <c r="AC46" t="str">
        <f>VLOOKUP(Y46,'впр данные'!A:B,2,1)</f>
        <v>координатор, страт-п-с-26-09</v>
      </c>
      <c r="AD46" t="str">
        <f>VLOOKUP(Y46,'впр данные'!A:C,3,1)</f>
        <v>координатор</v>
      </c>
    </row>
    <row r="47" spans="1:30" hidden="1" x14ac:dyDescent="0.3">
      <c r="A47">
        <v>389</v>
      </c>
      <c r="B47" t="s">
        <v>27</v>
      </c>
      <c r="C47" t="s">
        <v>28</v>
      </c>
      <c r="D47" t="s">
        <v>29</v>
      </c>
      <c r="G47" t="s">
        <v>30</v>
      </c>
      <c r="H47" t="s">
        <v>192</v>
      </c>
      <c r="I47" t="s">
        <v>185</v>
      </c>
      <c r="J47" t="s">
        <v>186</v>
      </c>
      <c r="L47" t="s">
        <v>34</v>
      </c>
      <c r="M47" t="s">
        <v>35</v>
      </c>
      <c r="N47" t="s">
        <v>36</v>
      </c>
      <c r="P47" t="s">
        <v>193</v>
      </c>
      <c r="S47" t="s">
        <v>30</v>
      </c>
      <c r="V47" t="s">
        <v>36</v>
      </c>
      <c r="W47" t="s">
        <v>36</v>
      </c>
      <c r="Y47" t="s">
        <v>96</v>
      </c>
      <c r="AA47" t="s">
        <v>194</v>
      </c>
      <c r="AB47" s="16" t="s">
        <v>898</v>
      </c>
      <c r="AC47" t="str">
        <f>VLOOKUP(Y47,'впр данные'!A:B,2,1)</f>
        <v>координатор, страт-п-с-26-09</v>
      </c>
      <c r="AD47" t="str">
        <f>VLOOKUP(Y47,'впр данные'!A:C,3,1)</f>
        <v>координатор</v>
      </c>
    </row>
    <row r="48" spans="1:30" hidden="1" x14ac:dyDescent="0.3">
      <c r="A48">
        <v>388</v>
      </c>
      <c r="B48" t="s">
        <v>27</v>
      </c>
      <c r="C48" t="s">
        <v>28</v>
      </c>
      <c r="D48" t="s">
        <v>29</v>
      </c>
      <c r="G48" t="s">
        <v>30</v>
      </c>
      <c r="H48" t="s">
        <v>195</v>
      </c>
      <c r="I48" t="s">
        <v>185</v>
      </c>
      <c r="J48" t="s">
        <v>186</v>
      </c>
      <c r="L48" t="s">
        <v>34</v>
      </c>
      <c r="M48" t="s">
        <v>35</v>
      </c>
      <c r="N48" t="s">
        <v>36</v>
      </c>
      <c r="P48" t="s">
        <v>196</v>
      </c>
      <c r="S48" t="s">
        <v>30</v>
      </c>
      <c r="V48" t="s">
        <v>36</v>
      </c>
      <c r="W48" t="s">
        <v>36</v>
      </c>
      <c r="Y48" t="s">
        <v>96</v>
      </c>
      <c r="AA48" t="s">
        <v>197</v>
      </c>
      <c r="AB48" s="16" t="s">
        <v>898</v>
      </c>
      <c r="AC48" t="str">
        <f>VLOOKUP(Y48,'впр данные'!A:B,2,1)</f>
        <v>координатор, страт-п-с-26-09</v>
      </c>
      <c r="AD48" t="str">
        <f>VLOOKUP(Y48,'впр данные'!A:C,3,1)</f>
        <v>координатор</v>
      </c>
    </row>
    <row r="49" spans="1:30" hidden="1" x14ac:dyDescent="0.3">
      <c r="A49">
        <v>386</v>
      </c>
      <c r="B49" t="s">
        <v>27</v>
      </c>
      <c r="C49" t="s">
        <v>28</v>
      </c>
      <c r="D49" t="s">
        <v>29</v>
      </c>
      <c r="G49" t="s">
        <v>30</v>
      </c>
      <c r="H49" t="s">
        <v>198</v>
      </c>
      <c r="I49" t="s">
        <v>199</v>
      </c>
      <c r="J49" t="s">
        <v>200</v>
      </c>
      <c r="L49" t="s">
        <v>34</v>
      </c>
      <c r="M49" t="s">
        <v>35</v>
      </c>
      <c r="N49" t="s">
        <v>36</v>
      </c>
      <c r="P49" t="s">
        <v>201</v>
      </c>
      <c r="S49" t="s">
        <v>30</v>
      </c>
      <c r="V49" t="s">
        <v>36</v>
      </c>
      <c r="W49" t="s">
        <v>36</v>
      </c>
      <c r="Y49" t="s">
        <v>96</v>
      </c>
      <c r="AA49" t="s">
        <v>202</v>
      </c>
      <c r="AB49" s="16" t="s">
        <v>898</v>
      </c>
      <c r="AC49" t="str">
        <f>VLOOKUP(Y49,'впр данные'!A:B,2,1)</f>
        <v>координатор, страт-п-с-26-09</v>
      </c>
      <c r="AD49" t="str">
        <f>VLOOKUP(Y49,'впр данные'!A:C,3,1)</f>
        <v>координатор</v>
      </c>
    </row>
    <row r="50" spans="1:30" hidden="1" x14ac:dyDescent="0.3">
      <c r="A50">
        <v>385</v>
      </c>
      <c r="B50" t="s">
        <v>27</v>
      </c>
      <c r="C50" t="s">
        <v>28</v>
      </c>
      <c r="D50" t="s">
        <v>29</v>
      </c>
      <c r="G50" t="s">
        <v>30</v>
      </c>
      <c r="H50" t="s">
        <v>203</v>
      </c>
      <c r="I50" t="s">
        <v>199</v>
      </c>
      <c r="J50" t="s">
        <v>200</v>
      </c>
      <c r="L50" t="s">
        <v>34</v>
      </c>
      <c r="M50" t="s">
        <v>35</v>
      </c>
      <c r="N50" t="s">
        <v>36</v>
      </c>
      <c r="P50" t="s">
        <v>204</v>
      </c>
      <c r="S50" t="s">
        <v>30</v>
      </c>
      <c r="V50" t="s">
        <v>36</v>
      </c>
      <c r="W50" t="s">
        <v>36</v>
      </c>
      <c r="Y50" t="s">
        <v>96</v>
      </c>
      <c r="AA50" t="s">
        <v>205</v>
      </c>
      <c r="AB50" s="16" t="s">
        <v>898</v>
      </c>
      <c r="AC50" t="str">
        <f>VLOOKUP(Y50,'впр данные'!A:B,2,1)</f>
        <v>координатор, страт-п-с-26-09</v>
      </c>
      <c r="AD50" t="str">
        <f>VLOOKUP(Y50,'впр данные'!A:C,3,1)</f>
        <v>координатор</v>
      </c>
    </row>
    <row r="51" spans="1:30" hidden="1" x14ac:dyDescent="0.3">
      <c r="A51">
        <v>384</v>
      </c>
      <c r="B51" t="s">
        <v>27</v>
      </c>
      <c r="C51" t="s">
        <v>28</v>
      </c>
      <c r="D51" t="s">
        <v>29</v>
      </c>
      <c r="G51" t="s">
        <v>30</v>
      </c>
      <c r="H51" t="s">
        <v>206</v>
      </c>
      <c r="I51" t="s">
        <v>199</v>
      </c>
      <c r="J51" t="s">
        <v>200</v>
      </c>
      <c r="L51" t="s">
        <v>34</v>
      </c>
      <c r="M51" t="s">
        <v>35</v>
      </c>
      <c r="N51" t="s">
        <v>36</v>
      </c>
      <c r="P51" t="s">
        <v>207</v>
      </c>
      <c r="S51" t="s">
        <v>30</v>
      </c>
      <c r="V51" t="s">
        <v>36</v>
      </c>
      <c r="W51" t="s">
        <v>36</v>
      </c>
      <c r="Y51" t="s">
        <v>96</v>
      </c>
      <c r="AA51" t="s">
        <v>208</v>
      </c>
      <c r="AB51" s="16" t="s">
        <v>898</v>
      </c>
      <c r="AC51" t="str">
        <f>VLOOKUP(Y51,'впр данные'!A:B,2,1)</f>
        <v>координатор, страт-п-с-26-09</v>
      </c>
      <c r="AD51" t="str">
        <f>VLOOKUP(Y51,'впр данные'!A:C,3,1)</f>
        <v>координатор</v>
      </c>
    </row>
    <row r="52" spans="1:30" hidden="1" x14ac:dyDescent="0.3">
      <c r="A52">
        <v>382</v>
      </c>
      <c r="B52" t="s">
        <v>27</v>
      </c>
      <c r="C52" t="s">
        <v>28</v>
      </c>
      <c r="D52" t="s">
        <v>29</v>
      </c>
      <c r="G52" t="s">
        <v>30</v>
      </c>
      <c r="H52" t="s">
        <v>209</v>
      </c>
      <c r="I52" t="s">
        <v>210</v>
      </c>
      <c r="J52" t="s">
        <v>211</v>
      </c>
      <c r="L52" t="s">
        <v>34</v>
      </c>
      <c r="M52" t="s">
        <v>35</v>
      </c>
      <c r="N52" t="s">
        <v>36</v>
      </c>
      <c r="P52" t="s">
        <v>212</v>
      </c>
      <c r="S52" t="s">
        <v>30</v>
      </c>
      <c r="V52" t="s">
        <v>36</v>
      </c>
      <c r="W52" t="s">
        <v>36</v>
      </c>
      <c r="Y52" t="s">
        <v>96</v>
      </c>
      <c r="AA52" t="s">
        <v>213</v>
      </c>
      <c r="AB52" s="16" t="s">
        <v>898</v>
      </c>
      <c r="AC52" t="str">
        <f>VLOOKUP(Y52,'впр данные'!A:B,2,1)</f>
        <v>координатор, страт-п-с-26-09</v>
      </c>
      <c r="AD52" t="str">
        <f>VLOOKUP(Y52,'впр данные'!A:C,3,1)</f>
        <v>координатор</v>
      </c>
    </row>
    <row r="53" spans="1:30" hidden="1" x14ac:dyDescent="0.3">
      <c r="A53">
        <v>381</v>
      </c>
      <c r="B53" t="s">
        <v>27</v>
      </c>
      <c r="C53" t="s">
        <v>28</v>
      </c>
      <c r="D53" t="s">
        <v>29</v>
      </c>
      <c r="G53" t="s">
        <v>30</v>
      </c>
      <c r="H53" t="s">
        <v>214</v>
      </c>
      <c r="I53" t="s">
        <v>210</v>
      </c>
      <c r="J53" t="s">
        <v>211</v>
      </c>
      <c r="L53" t="s">
        <v>34</v>
      </c>
      <c r="M53" t="s">
        <v>35</v>
      </c>
      <c r="N53" t="s">
        <v>36</v>
      </c>
      <c r="P53" t="s">
        <v>215</v>
      </c>
      <c r="S53" t="s">
        <v>30</v>
      </c>
      <c r="V53" t="s">
        <v>36</v>
      </c>
      <c r="W53" t="s">
        <v>36</v>
      </c>
      <c r="Y53" t="s">
        <v>96</v>
      </c>
      <c r="AA53" t="s">
        <v>216</v>
      </c>
      <c r="AB53" s="16" t="s">
        <v>898</v>
      </c>
      <c r="AC53" t="str">
        <f>VLOOKUP(Y53,'впр данные'!A:B,2,1)</f>
        <v>координатор, страт-п-с-26-09</v>
      </c>
      <c r="AD53" t="str">
        <f>VLOOKUP(Y53,'впр данные'!A:C,3,1)</f>
        <v>координатор</v>
      </c>
    </row>
    <row r="54" spans="1:30" hidden="1" x14ac:dyDescent="0.3">
      <c r="A54">
        <v>379</v>
      </c>
      <c r="B54" t="s">
        <v>27</v>
      </c>
      <c r="C54" t="s">
        <v>28</v>
      </c>
      <c r="D54" t="s">
        <v>29</v>
      </c>
      <c r="G54" t="s">
        <v>30</v>
      </c>
      <c r="H54" t="s">
        <v>217</v>
      </c>
      <c r="I54" t="s">
        <v>218</v>
      </c>
      <c r="J54" t="s">
        <v>219</v>
      </c>
      <c r="L54" t="s">
        <v>34</v>
      </c>
      <c r="M54" t="s">
        <v>35</v>
      </c>
      <c r="N54" t="s">
        <v>36</v>
      </c>
      <c r="P54" t="s">
        <v>220</v>
      </c>
      <c r="S54" t="s">
        <v>30</v>
      </c>
      <c r="V54" t="s">
        <v>36</v>
      </c>
      <c r="W54" t="s">
        <v>36</v>
      </c>
      <c r="Y54" t="s">
        <v>96</v>
      </c>
      <c r="AA54" t="s">
        <v>221</v>
      </c>
      <c r="AB54" s="16" t="s">
        <v>898</v>
      </c>
      <c r="AC54" t="str">
        <f>VLOOKUP(Y54,'впр данные'!A:B,2,1)</f>
        <v>координатор, страт-п-с-26-09</v>
      </c>
      <c r="AD54" t="str">
        <f>VLOOKUP(Y54,'впр данные'!A:C,3,1)</f>
        <v>координатор</v>
      </c>
    </row>
    <row r="55" spans="1:30" hidden="1" x14ac:dyDescent="0.3">
      <c r="A55">
        <v>378</v>
      </c>
      <c r="B55" t="s">
        <v>27</v>
      </c>
      <c r="C55" t="s">
        <v>28</v>
      </c>
      <c r="D55" t="s">
        <v>29</v>
      </c>
      <c r="G55" t="s">
        <v>30</v>
      </c>
      <c r="H55" t="s">
        <v>222</v>
      </c>
      <c r="I55" t="s">
        <v>218</v>
      </c>
      <c r="J55" t="s">
        <v>219</v>
      </c>
      <c r="L55" t="s">
        <v>34</v>
      </c>
      <c r="M55" t="s">
        <v>35</v>
      </c>
      <c r="N55" t="s">
        <v>36</v>
      </c>
      <c r="P55" t="s">
        <v>223</v>
      </c>
      <c r="S55" t="s">
        <v>30</v>
      </c>
      <c r="V55" t="s">
        <v>36</v>
      </c>
      <c r="W55" t="s">
        <v>36</v>
      </c>
      <c r="Y55" t="s">
        <v>96</v>
      </c>
      <c r="AA55" t="s">
        <v>224</v>
      </c>
      <c r="AB55" s="16" t="s">
        <v>898</v>
      </c>
      <c r="AC55" t="str">
        <f>VLOOKUP(Y55,'впр данные'!A:B,2,1)</f>
        <v>координатор, страт-п-с-26-09</v>
      </c>
      <c r="AD55" t="str">
        <f>VLOOKUP(Y55,'впр данные'!A:C,3,1)</f>
        <v>координатор</v>
      </c>
    </row>
    <row r="56" spans="1:30" hidden="1" x14ac:dyDescent="0.3">
      <c r="A56">
        <v>377</v>
      </c>
      <c r="B56" t="s">
        <v>27</v>
      </c>
      <c r="C56" t="s">
        <v>28</v>
      </c>
      <c r="D56" t="s">
        <v>29</v>
      </c>
      <c r="G56" t="s">
        <v>30</v>
      </c>
      <c r="H56" t="s">
        <v>225</v>
      </c>
      <c r="I56" t="s">
        <v>226</v>
      </c>
      <c r="J56" t="s">
        <v>227</v>
      </c>
      <c r="L56" t="s">
        <v>34</v>
      </c>
      <c r="M56" t="s">
        <v>35</v>
      </c>
      <c r="N56" t="s">
        <v>36</v>
      </c>
      <c r="P56" t="s">
        <v>228</v>
      </c>
      <c r="S56" t="s">
        <v>30</v>
      </c>
      <c r="V56" t="s">
        <v>36</v>
      </c>
      <c r="W56" t="s">
        <v>36</v>
      </c>
      <c r="Y56" t="s">
        <v>96</v>
      </c>
      <c r="AA56" t="s">
        <v>229</v>
      </c>
      <c r="AB56" s="16" t="s">
        <v>898</v>
      </c>
      <c r="AC56" t="str">
        <f>VLOOKUP(Y56,'впр данные'!A:B,2,1)</f>
        <v>координатор, страт-п-с-26-09</v>
      </c>
      <c r="AD56" t="str">
        <f>VLOOKUP(Y56,'впр данные'!A:C,3,1)</f>
        <v>координатор</v>
      </c>
    </row>
    <row r="57" spans="1:30" hidden="1" x14ac:dyDescent="0.3">
      <c r="A57">
        <v>376</v>
      </c>
      <c r="B57" t="s">
        <v>27</v>
      </c>
      <c r="C57" t="s">
        <v>28</v>
      </c>
      <c r="D57" t="s">
        <v>29</v>
      </c>
      <c r="G57" t="s">
        <v>30</v>
      </c>
      <c r="H57" t="s">
        <v>230</v>
      </c>
      <c r="I57" t="s">
        <v>226</v>
      </c>
      <c r="J57" t="s">
        <v>227</v>
      </c>
      <c r="L57" t="s">
        <v>34</v>
      </c>
      <c r="M57" t="s">
        <v>35</v>
      </c>
      <c r="N57" t="s">
        <v>36</v>
      </c>
      <c r="P57" t="s">
        <v>231</v>
      </c>
      <c r="S57" t="s">
        <v>30</v>
      </c>
      <c r="V57" t="s">
        <v>36</v>
      </c>
      <c r="W57" t="s">
        <v>36</v>
      </c>
      <c r="Y57" t="s">
        <v>96</v>
      </c>
      <c r="AA57" t="s">
        <v>232</v>
      </c>
      <c r="AB57" s="16" t="s">
        <v>898</v>
      </c>
      <c r="AC57" t="str">
        <f>VLOOKUP(Y57,'впр данные'!A:B,2,1)</f>
        <v>координатор, страт-п-с-26-09</v>
      </c>
      <c r="AD57" t="str">
        <f>VLOOKUP(Y57,'впр данные'!A:C,3,1)</f>
        <v>координатор</v>
      </c>
    </row>
    <row r="58" spans="1:30" hidden="1" x14ac:dyDescent="0.3">
      <c r="A58">
        <v>375</v>
      </c>
      <c r="B58" t="s">
        <v>27</v>
      </c>
      <c r="C58" t="s">
        <v>28</v>
      </c>
      <c r="D58" t="s">
        <v>29</v>
      </c>
      <c r="G58" t="s">
        <v>30</v>
      </c>
      <c r="H58" t="s">
        <v>233</v>
      </c>
      <c r="I58" t="s">
        <v>234</v>
      </c>
      <c r="J58" t="s">
        <v>235</v>
      </c>
      <c r="L58" t="s">
        <v>34</v>
      </c>
      <c r="M58" t="s">
        <v>35</v>
      </c>
      <c r="N58" t="s">
        <v>36</v>
      </c>
      <c r="P58" t="s">
        <v>236</v>
      </c>
      <c r="S58" t="s">
        <v>30</v>
      </c>
      <c r="V58" t="s">
        <v>36</v>
      </c>
      <c r="W58" t="s">
        <v>36</v>
      </c>
      <c r="Y58" t="s">
        <v>237</v>
      </c>
      <c r="AA58" t="s">
        <v>238</v>
      </c>
      <c r="AB58" s="16" t="s">
        <v>898</v>
      </c>
      <c r="AC58" t="str">
        <f>VLOOKUP(Y58,'впр данные'!A:B,2,1)</f>
        <v>координатор, страт-п-с-26-09</v>
      </c>
      <c r="AD58" t="str">
        <f>VLOOKUP(Y58,'впр данные'!A:C,3,1)</f>
        <v>координатор</v>
      </c>
    </row>
    <row r="59" spans="1:30" hidden="1" x14ac:dyDescent="0.3">
      <c r="A59">
        <v>374</v>
      </c>
      <c r="B59" t="s">
        <v>27</v>
      </c>
      <c r="C59" t="s">
        <v>28</v>
      </c>
      <c r="D59" t="s">
        <v>29</v>
      </c>
      <c r="G59" t="s">
        <v>30</v>
      </c>
      <c r="H59" t="s">
        <v>239</v>
      </c>
      <c r="I59" t="s">
        <v>234</v>
      </c>
      <c r="J59" t="s">
        <v>235</v>
      </c>
      <c r="L59" t="s">
        <v>34</v>
      </c>
      <c r="M59" t="s">
        <v>35</v>
      </c>
      <c r="N59" t="s">
        <v>36</v>
      </c>
      <c r="P59" t="s">
        <v>240</v>
      </c>
      <c r="S59" t="s">
        <v>30</v>
      </c>
      <c r="V59" t="s">
        <v>36</v>
      </c>
      <c r="W59" t="s">
        <v>36</v>
      </c>
      <c r="Y59" t="s">
        <v>237</v>
      </c>
      <c r="AA59" t="s">
        <v>241</v>
      </c>
      <c r="AB59" s="16" t="s">
        <v>898</v>
      </c>
      <c r="AC59" t="str">
        <f>VLOOKUP(Y59,'впр данные'!A:B,2,1)</f>
        <v>координатор, страт-п-с-26-09</v>
      </c>
      <c r="AD59" t="str">
        <f>VLOOKUP(Y59,'впр данные'!A:C,3,1)</f>
        <v>координатор</v>
      </c>
    </row>
    <row r="60" spans="1:30" hidden="1" x14ac:dyDescent="0.3">
      <c r="A60">
        <v>373</v>
      </c>
      <c r="B60" t="s">
        <v>27</v>
      </c>
      <c r="C60" t="s">
        <v>28</v>
      </c>
      <c r="D60" t="s">
        <v>29</v>
      </c>
      <c r="G60" t="s">
        <v>30</v>
      </c>
      <c r="H60" t="s">
        <v>242</v>
      </c>
      <c r="I60" t="s">
        <v>243</v>
      </c>
      <c r="J60" t="s">
        <v>244</v>
      </c>
      <c r="L60" t="s">
        <v>34</v>
      </c>
      <c r="M60" t="s">
        <v>35</v>
      </c>
      <c r="N60" t="s">
        <v>36</v>
      </c>
      <c r="P60" t="s">
        <v>245</v>
      </c>
      <c r="S60" t="s">
        <v>30</v>
      </c>
      <c r="V60" t="s">
        <v>36</v>
      </c>
      <c r="W60" t="s">
        <v>36</v>
      </c>
      <c r="Y60" t="s">
        <v>237</v>
      </c>
      <c r="AA60" t="s">
        <v>246</v>
      </c>
      <c r="AB60" s="16" t="s">
        <v>898</v>
      </c>
      <c r="AC60" t="str">
        <f>VLOOKUP(Y60,'впр данные'!A:B,2,1)</f>
        <v>координатор, страт-п-с-26-09</v>
      </c>
      <c r="AD60" t="str">
        <f>VLOOKUP(Y60,'впр данные'!A:C,3,1)</f>
        <v>координатор</v>
      </c>
    </row>
    <row r="61" spans="1:30" hidden="1" x14ac:dyDescent="0.3">
      <c r="A61">
        <v>372</v>
      </c>
      <c r="B61" t="s">
        <v>27</v>
      </c>
      <c r="C61" t="s">
        <v>28</v>
      </c>
      <c r="D61" t="s">
        <v>29</v>
      </c>
      <c r="G61" t="s">
        <v>30</v>
      </c>
      <c r="H61" t="s">
        <v>247</v>
      </c>
      <c r="I61" t="s">
        <v>248</v>
      </c>
      <c r="J61" t="s">
        <v>249</v>
      </c>
      <c r="L61" t="s">
        <v>34</v>
      </c>
      <c r="M61" t="s">
        <v>35</v>
      </c>
      <c r="N61" t="s">
        <v>36</v>
      </c>
      <c r="P61" t="s">
        <v>250</v>
      </c>
      <c r="S61" t="s">
        <v>30</v>
      </c>
      <c r="V61" t="s">
        <v>36</v>
      </c>
      <c r="W61" t="s">
        <v>36</v>
      </c>
      <c r="Y61" t="s">
        <v>237</v>
      </c>
      <c r="AA61" t="s">
        <v>251</v>
      </c>
      <c r="AB61" s="16" t="s">
        <v>898</v>
      </c>
      <c r="AC61" t="str">
        <f>VLOOKUP(Y61,'впр данные'!A:B,2,1)</f>
        <v>координатор, страт-п-с-26-09</v>
      </c>
      <c r="AD61" t="str">
        <f>VLOOKUP(Y61,'впр данные'!A:C,3,1)</f>
        <v>координатор</v>
      </c>
    </row>
    <row r="62" spans="1:30" hidden="1" x14ac:dyDescent="0.3">
      <c r="A62">
        <v>371</v>
      </c>
      <c r="B62" t="s">
        <v>27</v>
      </c>
      <c r="C62" t="s">
        <v>28</v>
      </c>
      <c r="D62" t="s">
        <v>29</v>
      </c>
      <c r="G62" t="s">
        <v>30</v>
      </c>
      <c r="H62" t="s">
        <v>252</v>
      </c>
      <c r="I62" t="s">
        <v>248</v>
      </c>
      <c r="J62" t="s">
        <v>249</v>
      </c>
      <c r="L62" t="s">
        <v>34</v>
      </c>
      <c r="M62" t="s">
        <v>35</v>
      </c>
      <c r="N62" t="s">
        <v>36</v>
      </c>
      <c r="P62" t="s">
        <v>253</v>
      </c>
      <c r="S62" t="s">
        <v>30</v>
      </c>
      <c r="V62" t="s">
        <v>36</v>
      </c>
      <c r="W62" t="s">
        <v>36</v>
      </c>
      <c r="Y62" t="s">
        <v>237</v>
      </c>
      <c r="AA62" t="s">
        <v>254</v>
      </c>
      <c r="AB62" s="16" t="s">
        <v>898</v>
      </c>
      <c r="AC62" t="str">
        <f>VLOOKUP(Y62,'впр данные'!A:B,2,1)</f>
        <v>координатор, страт-п-с-26-09</v>
      </c>
      <c r="AD62" t="str">
        <f>VLOOKUP(Y62,'впр данные'!A:C,3,1)</f>
        <v>координатор</v>
      </c>
    </row>
    <row r="63" spans="1:30" hidden="1" x14ac:dyDescent="0.3">
      <c r="A63">
        <v>370</v>
      </c>
      <c r="B63" t="s">
        <v>27</v>
      </c>
      <c r="C63" t="s">
        <v>28</v>
      </c>
      <c r="D63" t="s">
        <v>29</v>
      </c>
      <c r="G63" t="s">
        <v>30</v>
      </c>
      <c r="H63" t="s">
        <v>255</v>
      </c>
      <c r="I63" t="s">
        <v>41</v>
      </c>
      <c r="J63" t="s">
        <v>42</v>
      </c>
      <c r="L63" t="s">
        <v>34</v>
      </c>
      <c r="M63" t="s">
        <v>35</v>
      </c>
      <c r="N63" t="s">
        <v>36</v>
      </c>
      <c r="P63" t="s">
        <v>256</v>
      </c>
      <c r="S63" t="s">
        <v>30</v>
      </c>
      <c r="V63" t="s">
        <v>36</v>
      </c>
      <c r="W63" t="s">
        <v>36</v>
      </c>
      <c r="Y63" t="s">
        <v>237</v>
      </c>
      <c r="AA63" t="s">
        <v>257</v>
      </c>
      <c r="AB63" s="16" t="s">
        <v>898</v>
      </c>
      <c r="AC63" t="str">
        <f>VLOOKUP(Y63,'впр данные'!A:B,2,1)</f>
        <v>координатор, страт-п-с-26-09</v>
      </c>
      <c r="AD63" t="str">
        <f>VLOOKUP(Y63,'впр данные'!A:C,3,1)</f>
        <v>координатор</v>
      </c>
    </row>
    <row r="64" spans="1:30" hidden="1" x14ac:dyDescent="0.3">
      <c r="A64">
        <v>369</v>
      </c>
      <c r="B64" t="s">
        <v>27</v>
      </c>
      <c r="C64" t="s">
        <v>28</v>
      </c>
      <c r="D64" t="s">
        <v>29</v>
      </c>
      <c r="G64" t="s">
        <v>30</v>
      </c>
      <c r="H64" t="s">
        <v>258</v>
      </c>
      <c r="I64" t="s">
        <v>41</v>
      </c>
      <c r="J64" t="s">
        <v>42</v>
      </c>
      <c r="L64" t="s">
        <v>34</v>
      </c>
      <c r="M64" t="s">
        <v>35</v>
      </c>
      <c r="N64" t="s">
        <v>36</v>
      </c>
      <c r="P64" t="s">
        <v>259</v>
      </c>
      <c r="S64" t="s">
        <v>30</v>
      </c>
      <c r="V64" t="s">
        <v>36</v>
      </c>
      <c r="W64" t="s">
        <v>36</v>
      </c>
      <c r="Y64" t="s">
        <v>237</v>
      </c>
      <c r="AA64" t="s">
        <v>260</v>
      </c>
      <c r="AB64" s="16" t="s">
        <v>898</v>
      </c>
      <c r="AC64" t="str">
        <f>VLOOKUP(Y64,'впр данные'!A:B,2,1)</f>
        <v>координатор, страт-п-с-26-09</v>
      </c>
      <c r="AD64" t="str">
        <f>VLOOKUP(Y64,'впр данные'!A:C,3,1)</f>
        <v>координатор</v>
      </c>
    </row>
    <row r="65" spans="1:30" hidden="1" x14ac:dyDescent="0.3">
      <c r="A65">
        <v>368</v>
      </c>
      <c r="B65" t="s">
        <v>27</v>
      </c>
      <c r="C65" t="s">
        <v>28</v>
      </c>
      <c r="D65" t="s">
        <v>29</v>
      </c>
      <c r="G65" t="s">
        <v>30</v>
      </c>
      <c r="H65" t="s">
        <v>261</v>
      </c>
      <c r="I65" t="s">
        <v>41</v>
      </c>
      <c r="J65" t="s">
        <v>42</v>
      </c>
      <c r="L65" t="s">
        <v>34</v>
      </c>
      <c r="M65" t="s">
        <v>35</v>
      </c>
      <c r="N65" t="s">
        <v>36</v>
      </c>
      <c r="P65" t="s">
        <v>262</v>
      </c>
      <c r="S65" t="s">
        <v>30</v>
      </c>
      <c r="V65" t="s">
        <v>36</v>
      </c>
      <c r="W65" t="s">
        <v>36</v>
      </c>
      <c r="Y65" t="s">
        <v>237</v>
      </c>
      <c r="AA65" t="s">
        <v>263</v>
      </c>
      <c r="AB65" s="16" t="s">
        <v>898</v>
      </c>
      <c r="AC65" t="str">
        <f>VLOOKUP(Y65,'впр данные'!A:B,2,1)</f>
        <v>координатор, страт-п-с-26-09</v>
      </c>
      <c r="AD65" t="str">
        <f>VLOOKUP(Y65,'впр данные'!A:C,3,1)</f>
        <v>координатор</v>
      </c>
    </row>
    <row r="66" spans="1:30" hidden="1" x14ac:dyDescent="0.3">
      <c r="A66">
        <v>367</v>
      </c>
      <c r="B66" t="s">
        <v>27</v>
      </c>
      <c r="C66" t="s">
        <v>28</v>
      </c>
      <c r="D66" t="s">
        <v>29</v>
      </c>
      <c r="G66" t="s">
        <v>30</v>
      </c>
      <c r="H66" t="s">
        <v>264</v>
      </c>
      <c r="I66" t="s">
        <v>265</v>
      </c>
      <c r="J66" t="s">
        <v>266</v>
      </c>
      <c r="L66" t="s">
        <v>34</v>
      </c>
      <c r="M66" t="s">
        <v>35</v>
      </c>
      <c r="N66" t="s">
        <v>36</v>
      </c>
      <c r="P66" t="s">
        <v>267</v>
      </c>
      <c r="S66" t="s">
        <v>30</v>
      </c>
      <c r="V66" t="s">
        <v>36</v>
      </c>
      <c r="W66" t="s">
        <v>36</v>
      </c>
      <c r="Y66" t="s">
        <v>237</v>
      </c>
      <c r="AA66" t="s">
        <v>268</v>
      </c>
      <c r="AB66" s="16" t="s">
        <v>898</v>
      </c>
      <c r="AC66" t="str">
        <f>VLOOKUP(Y66,'впр данные'!A:B,2,1)</f>
        <v>координатор, страт-п-с-26-09</v>
      </c>
      <c r="AD66" t="str">
        <f>VLOOKUP(Y66,'впр данные'!A:C,3,1)</f>
        <v>координатор</v>
      </c>
    </row>
    <row r="67" spans="1:30" hidden="1" x14ac:dyDescent="0.3">
      <c r="A67">
        <v>366</v>
      </c>
      <c r="B67" t="s">
        <v>27</v>
      </c>
      <c r="C67" t="s">
        <v>28</v>
      </c>
      <c r="D67" t="s">
        <v>29</v>
      </c>
      <c r="G67" t="s">
        <v>30</v>
      </c>
      <c r="H67" t="s">
        <v>269</v>
      </c>
      <c r="I67" t="s">
        <v>265</v>
      </c>
      <c r="J67" t="s">
        <v>266</v>
      </c>
      <c r="L67" t="s">
        <v>34</v>
      </c>
      <c r="M67" t="s">
        <v>35</v>
      </c>
      <c r="N67" t="s">
        <v>36</v>
      </c>
      <c r="P67" t="s">
        <v>270</v>
      </c>
      <c r="S67" t="s">
        <v>30</v>
      </c>
      <c r="V67" t="s">
        <v>36</v>
      </c>
      <c r="W67" t="s">
        <v>36</v>
      </c>
      <c r="Y67" t="s">
        <v>237</v>
      </c>
      <c r="AA67" t="s">
        <v>271</v>
      </c>
      <c r="AB67" s="16" t="s">
        <v>898</v>
      </c>
      <c r="AC67" t="str">
        <f>VLOOKUP(Y67,'впр данные'!A:B,2,1)</f>
        <v>координатор, страт-п-с-26-09</v>
      </c>
      <c r="AD67" t="str">
        <f>VLOOKUP(Y67,'впр данные'!A:C,3,1)</f>
        <v>координатор</v>
      </c>
    </row>
    <row r="68" spans="1:30" hidden="1" x14ac:dyDescent="0.3">
      <c r="A68">
        <v>365</v>
      </c>
      <c r="B68" t="s">
        <v>27</v>
      </c>
      <c r="C68" t="s">
        <v>28</v>
      </c>
      <c r="D68" t="s">
        <v>29</v>
      </c>
      <c r="G68" t="s">
        <v>30</v>
      </c>
      <c r="H68" t="s">
        <v>272</v>
      </c>
      <c r="I68" t="s">
        <v>265</v>
      </c>
      <c r="J68" t="s">
        <v>266</v>
      </c>
      <c r="L68" t="s">
        <v>34</v>
      </c>
      <c r="M68" t="s">
        <v>35</v>
      </c>
      <c r="N68" t="s">
        <v>36</v>
      </c>
      <c r="P68" t="s">
        <v>273</v>
      </c>
      <c r="S68" t="s">
        <v>30</v>
      </c>
      <c r="V68" t="s">
        <v>36</v>
      </c>
      <c r="W68" t="s">
        <v>36</v>
      </c>
      <c r="Y68" t="s">
        <v>237</v>
      </c>
      <c r="AA68" t="s">
        <v>274</v>
      </c>
      <c r="AB68" s="16" t="s">
        <v>898</v>
      </c>
      <c r="AC68" t="str">
        <f>VLOOKUP(Y68,'впр данные'!A:B,2,1)</f>
        <v>координатор, страт-п-с-26-09</v>
      </c>
      <c r="AD68" t="str">
        <f>VLOOKUP(Y68,'впр данные'!A:C,3,1)</f>
        <v>координатор</v>
      </c>
    </row>
    <row r="69" spans="1:30" hidden="1" x14ac:dyDescent="0.3">
      <c r="A69">
        <v>364</v>
      </c>
      <c r="B69" t="s">
        <v>27</v>
      </c>
      <c r="C69" t="s">
        <v>28</v>
      </c>
      <c r="D69" t="s">
        <v>29</v>
      </c>
      <c r="G69" t="s">
        <v>30</v>
      </c>
      <c r="H69" t="s">
        <v>275</v>
      </c>
      <c r="I69" t="s">
        <v>64</v>
      </c>
      <c r="J69" t="s">
        <v>65</v>
      </c>
      <c r="L69" t="s">
        <v>34</v>
      </c>
      <c r="M69" t="s">
        <v>35</v>
      </c>
      <c r="N69" t="s">
        <v>36</v>
      </c>
      <c r="P69" t="s">
        <v>276</v>
      </c>
      <c r="S69" t="s">
        <v>30</v>
      </c>
      <c r="V69" t="s">
        <v>36</v>
      </c>
      <c r="W69" t="s">
        <v>36</v>
      </c>
      <c r="Y69" t="s">
        <v>237</v>
      </c>
      <c r="AA69" t="s">
        <v>277</v>
      </c>
      <c r="AB69" s="16" t="s">
        <v>898</v>
      </c>
      <c r="AC69" t="str">
        <f>VLOOKUP(Y69,'впр данные'!A:B,2,1)</f>
        <v>координатор, страт-п-с-26-09</v>
      </c>
      <c r="AD69" t="str">
        <f>VLOOKUP(Y69,'впр данные'!A:C,3,1)</f>
        <v>координатор</v>
      </c>
    </row>
    <row r="70" spans="1:30" hidden="1" x14ac:dyDescent="0.3">
      <c r="A70">
        <v>362</v>
      </c>
      <c r="B70" t="s">
        <v>27</v>
      </c>
      <c r="C70" t="s">
        <v>28</v>
      </c>
      <c r="D70" t="s">
        <v>29</v>
      </c>
      <c r="G70" t="s">
        <v>30</v>
      </c>
      <c r="H70" t="s">
        <v>278</v>
      </c>
      <c r="I70" t="s">
        <v>32</v>
      </c>
      <c r="J70" t="s">
        <v>33</v>
      </c>
      <c r="L70" t="s">
        <v>34</v>
      </c>
      <c r="M70" t="s">
        <v>35</v>
      </c>
      <c r="N70" t="s">
        <v>36</v>
      </c>
      <c r="P70" t="s">
        <v>279</v>
      </c>
      <c r="S70" t="s">
        <v>30</v>
      </c>
      <c r="V70" t="s">
        <v>36</v>
      </c>
      <c r="W70" t="s">
        <v>36</v>
      </c>
      <c r="Y70" t="s">
        <v>280</v>
      </c>
      <c r="AA70" t="s">
        <v>281</v>
      </c>
      <c r="AB70" s="16" t="s">
        <v>898</v>
      </c>
      <c r="AC70" t="str">
        <f>VLOOKUP(Y70,'впр данные'!A:B,2,1)</f>
        <v>продюсер, страт-п-с-26-09</v>
      </c>
      <c r="AD70" t="str">
        <f>VLOOKUP(Y70,'впр данные'!A:C,3,1)</f>
        <v>продюсер</v>
      </c>
    </row>
    <row r="71" spans="1:30" hidden="1" x14ac:dyDescent="0.3">
      <c r="A71">
        <v>361</v>
      </c>
      <c r="B71" t="s">
        <v>27</v>
      </c>
      <c r="C71" t="s">
        <v>28</v>
      </c>
      <c r="D71" t="s">
        <v>29</v>
      </c>
      <c r="G71" t="s">
        <v>30</v>
      </c>
      <c r="H71" t="s">
        <v>282</v>
      </c>
      <c r="I71" t="s">
        <v>32</v>
      </c>
      <c r="J71" t="s">
        <v>33</v>
      </c>
      <c r="L71" t="s">
        <v>34</v>
      </c>
      <c r="M71" t="s">
        <v>35</v>
      </c>
      <c r="N71" t="s">
        <v>36</v>
      </c>
      <c r="P71" t="s">
        <v>283</v>
      </c>
      <c r="S71" t="s">
        <v>30</v>
      </c>
      <c r="V71" t="s">
        <v>36</v>
      </c>
      <c r="W71" t="s">
        <v>36</v>
      </c>
      <c r="Y71" t="s">
        <v>280</v>
      </c>
      <c r="AA71" t="s">
        <v>284</v>
      </c>
      <c r="AB71" s="16" t="s">
        <v>898</v>
      </c>
      <c r="AC71" t="str">
        <f>VLOOKUP(Y71,'впр данные'!A:B,2,1)</f>
        <v>продюсер, страт-п-с-26-09</v>
      </c>
      <c r="AD71" t="str">
        <f>VLOOKUP(Y71,'впр данные'!A:C,3,1)</f>
        <v>продюсер</v>
      </c>
    </row>
    <row r="72" spans="1:30" hidden="1" x14ac:dyDescent="0.3">
      <c r="A72">
        <v>360</v>
      </c>
      <c r="B72" t="s">
        <v>27</v>
      </c>
      <c r="C72" t="s">
        <v>28</v>
      </c>
      <c r="D72" t="s">
        <v>29</v>
      </c>
      <c r="G72" t="s">
        <v>30</v>
      </c>
      <c r="H72" t="s">
        <v>285</v>
      </c>
      <c r="I72" t="s">
        <v>32</v>
      </c>
      <c r="J72" t="s">
        <v>33</v>
      </c>
      <c r="L72" t="s">
        <v>34</v>
      </c>
      <c r="M72" t="s">
        <v>35</v>
      </c>
      <c r="N72" t="s">
        <v>36</v>
      </c>
      <c r="P72" t="s">
        <v>286</v>
      </c>
      <c r="S72" t="s">
        <v>30</v>
      </c>
      <c r="V72" t="s">
        <v>36</v>
      </c>
      <c r="W72" t="s">
        <v>36</v>
      </c>
      <c r="Y72" t="s">
        <v>280</v>
      </c>
      <c r="AA72" t="s">
        <v>287</v>
      </c>
      <c r="AB72" s="16" t="s">
        <v>898</v>
      </c>
      <c r="AC72" t="str">
        <f>VLOOKUP(Y72,'впр данные'!A:B,2,1)</f>
        <v>продюсер, страт-п-с-26-09</v>
      </c>
      <c r="AD72" t="str">
        <f>VLOOKUP(Y72,'впр данные'!A:C,3,1)</f>
        <v>продюсер</v>
      </c>
    </row>
    <row r="73" spans="1:30" hidden="1" x14ac:dyDescent="0.3">
      <c r="A73">
        <v>359</v>
      </c>
      <c r="B73" t="s">
        <v>27</v>
      </c>
      <c r="C73" t="s">
        <v>28</v>
      </c>
      <c r="D73" t="s">
        <v>29</v>
      </c>
      <c r="G73" t="s">
        <v>30</v>
      </c>
      <c r="H73" t="s">
        <v>288</v>
      </c>
      <c r="I73" t="s">
        <v>32</v>
      </c>
      <c r="J73" t="s">
        <v>33</v>
      </c>
      <c r="L73" t="s">
        <v>34</v>
      </c>
      <c r="M73" t="s">
        <v>35</v>
      </c>
      <c r="N73" t="s">
        <v>36</v>
      </c>
      <c r="P73" t="s">
        <v>289</v>
      </c>
      <c r="S73" t="s">
        <v>30</v>
      </c>
      <c r="V73" t="s">
        <v>36</v>
      </c>
      <c r="W73" t="s">
        <v>36</v>
      </c>
      <c r="Y73" t="s">
        <v>280</v>
      </c>
      <c r="AA73" t="s">
        <v>290</v>
      </c>
      <c r="AB73" s="16" t="s">
        <v>898</v>
      </c>
      <c r="AC73" t="str">
        <f>VLOOKUP(Y73,'впр данные'!A:B,2,1)</f>
        <v>продюсер, страт-п-с-26-09</v>
      </c>
      <c r="AD73" t="str">
        <f>VLOOKUP(Y73,'впр данные'!A:C,3,1)</f>
        <v>продюсер</v>
      </c>
    </row>
    <row r="74" spans="1:30" hidden="1" x14ac:dyDescent="0.3">
      <c r="A74">
        <v>358</v>
      </c>
      <c r="B74" t="s">
        <v>27</v>
      </c>
      <c r="C74" t="s">
        <v>28</v>
      </c>
      <c r="D74" t="s">
        <v>29</v>
      </c>
      <c r="G74" t="s">
        <v>30</v>
      </c>
      <c r="H74" t="s">
        <v>291</v>
      </c>
      <c r="I74" t="s">
        <v>32</v>
      </c>
      <c r="J74" t="s">
        <v>33</v>
      </c>
      <c r="L74" t="s">
        <v>34</v>
      </c>
      <c r="M74" t="s">
        <v>35</v>
      </c>
      <c r="N74" t="s">
        <v>36</v>
      </c>
      <c r="P74" t="s">
        <v>292</v>
      </c>
      <c r="S74" t="s">
        <v>30</v>
      </c>
      <c r="V74" t="s">
        <v>36</v>
      </c>
      <c r="W74" t="s">
        <v>36</v>
      </c>
      <c r="Y74" t="s">
        <v>280</v>
      </c>
      <c r="AA74" t="s">
        <v>293</v>
      </c>
      <c r="AB74" s="16" t="s">
        <v>898</v>
      </c>
      <c r="AC74" t="str">
        <f>VLOOKUP(Y74,'впр данные'!A:B,2,1)</f>
        <v>продюсер, страт-п-с-26-09</v>
      </c>
      <c r="AD74" t="str">
        <f>VLOOKUP(Y74,'впр данные'!A:C,3,1)</f>
        <v>продюсер</v>
      </c>
    </row>
    <row r="75" spans="1:30" hidden="1" x14ac:dyDescent="0.3">
      <c r="A75">
        <v>357</v>
      </c>
      <c r="B75" t="s">
        <v>27</v>
      </c>
      <c r="C75" t="s">
        <v>28</v>
      </c>
      <c r="D75" t="s">
        <v>29</v>
      </c>
      <c r="G75" t="s">
        <v>30</v>
      </c>
      <c r="H75" t="s">
        <v>294</v>
      </c>
      <c r="I75" t="s">
        <v>295</v>
      </c>
      <c r="J75" t="s">
        <v>81</v>
      </c>
      <c r="L75" t="s">
        <v>34</v>
      </c>
      <c r="M75" t="s">
        <v>35</v>
      </c>
      <c r="N75" t="s">
        <v>36</v>
      </c>
      <c r="P75" t="s">
        <v>296</v>
      </c>
      <c r="S75" t="s">
        <v>30</v>
      </c>
      <c r="V75" t="s">
        <v>36</v>
      </c>
      <c r="W75" t="s">
        <v>36</v>
      </c>
      <c r="Y75" t="s">
        <v>297</v>
      </c>
      <c r="AA75" t="s">
        <v>298</v>
      </c>
      <c r="AB75" s="16" t="s">
        <v>898</v>
      </c>
      <c r="AC75" t="str">
        <f>VLOOKUP(Y75,'впр данные'!A:B,2,1)</f>
        <v>продюсер, страт-п-с-26-09</v>
      </c>
      <c r="AD75" t="str">
        <f>VLOOKUP(Y75,'впр данные'!A:C,3,1)</f>
        <v>продюсер</v>
      </c>
    </row>
    <row r="76" spans="1:30" hidden="1" x14ac:dyDescent="0.3">
      <c r="A76">
        <v>356</v>
      </c>
      <c r="B76" t="s">
        <v>27</v>
      </c>
      <c r="C76" t="s">
        <v>28</v>
      </c>
      <c r="D76" t="s">
        <v>29</v>
      </c>
      <c r="G76" t="s">
        <v>30</v>
      </c>
      <c r="H76" t="s">
        <v>299</v>
      </c>
      <c r="I76" t="s">
        <v>295</v>
      </c>
      <c r="J76" t="s">
        <v>81</v>
      </c>
      <c r="L76" t="s">
        <v>34</v>
      </c>
      <c r="M76" t="s">
        <v>35</v>
      </c>
      <c r="N76" t="s">
        <v>36</v>
      </c>
      <c r="P76" t="s">
        <v>300</v>
      </c>
      <c r="S76" t="s">
        <v>30</v>
      </c>
      <c r="V76" t="s">
        <v>36</v>
      </c>
      <c r="W76" t="s">
        <v>36</v>
      </c>
      <c r="Y76" t="s">
        <v>297</v>
      </c>
      <c r="AA76" t="s">
        <v>301</v>
      </c>
      <c r="AB76" s="16" t="s">
        <v>898</v>
      </c>
      <c r="AC76" t="str">
        <f>VLOOKUP(Y76,'впр данные'!A:B,2,1)</f>
        <v>продюсер, страт-п-с-26-09</v>
      </c>
      <c r="AD76" t="str">
        <f>VLOOKUP(Y76,'впр данные'!A:C,3,1)</f>
        <v>продюсер</v>
      </c>
    </row>
    <row r="77" spans="1:30" hidden="1" x14ac:dyDescent="0.3">
      <c r="A77">
        <v>355</v>
      </c>
      <c r="B77" t="s">
        <v>27</v>
      </c>
      <c r="C77" t="s">
        <v>28</v>
      </c>
      <c r="D77" t="s">
        <v>29</v>
      </c>
      <c r="G77" t="s">
        <v>30</v>
      </c>
      <c r="H77" t="s">
        <v>302</v>
      </c>
      <c r="I77" t="s">
        <v>295</v>
      </c>
      <c r="J77" t="s">
        <v>81</v>
      </c>
      <c r="L77" t="s">
        <v>34</v>
      </c>
      <c r="M77" t="s">
        <v>35</v>
      </c>
      <c r="N77" t="s">
        <v>36</v>
      </c>
      <c r="P77" t="s">
        <v>303</v>
      </c>
      <c r="S77" t="s">
        <v>30</v>
      </c>
      <c r="V77" t="s">
        <v>36</v>
      </c>
      <c r="W77" t="s">
        <v>36</v>
      </c>
      <c r="Y77" t="s">
        <v>297</v>
      </c>
      <c r="AA77" t="s">
        <v>304</v>
      </c>
      <c r="AB77" s="16" t="s">
        <v>898</v>
      </c>
      <c r="AC77" t="str">
        <f>VLOOKUP(Y77,'впр данные'!A:B,2,1)</f>
        <v>продюсер, страт-п-с-26-09</v>
      </c>
      <c r="AD77" t="str">
        <f>VLOOKUP(Y77,'впр данные'!A:C,3,1)</f>
        <v>продюсер</v>
      </c>
    </row>
    <row r="78" spans="1:30" hidden="1" x14ac:dyDescent="0.3">
      <c r="A78">
        <v>354</v>
      </c>
      <c r="B78" t="s">
        <v>27</v>
      </c>
      <c r="C78" t="s">
        <v>28</v>
      </c>
      <c r="D78" t="s">
        <v>29</v>
      </c>
      <c r="G78" t="s">
        <v>30</v>
      </c>
      <c r="H78" t="s">
        <v>305</v>
      </c>
      <c r="I78" t="s">
        <v>93</v>
      </c>
      <c r="J78" t="s">
        <v>94</v>
      </c>
      <c r="L78" t="s">
        <v>34</v>
      </c>
      <c r="M78" t="s">
        <v>35</v>
      </c>
      <c r="N78" t="s">
        <v>36</v>
      </c>
      <c r="P78" t="s">
        <v>306</v>
      </c>
      <c r="S78" t="s">
        <v>30</v>
      </c>
      <c r="V78" t="s">
        <v>36</v>
      </c>
      <c r="W78" t="s">
        <v>36</v>
      </c>
      <c r="Y78" t="s">
        <v>307</v>
      </c>
      <c r="AA78" t="s">
        <v>308</v>
      </c>
      <c r="AB78" s="16" t="s">
        <v>898</v>
      </c>
      <c r="AC78" t="str">
        <f>VLOOKUP(Y78,'впр данные'!A:B,2,1)</f>
        <v>продюсер, страт-п-с-26-09</v>
      </c>
      <c r="AD78" t="str">
        <f>VLOOKUP(Y78,'впр данные'!A:C,3,1)</f>
        <v>продюсер</v>
      </c>
    </row>
    <row r="79" spans="1:30" hidden="1" x14ac:dyDescent="0.3">
      <c r="A79">
        <v>353</v>
      </c>
      <c r="B79" t="s">
        <v>27</v>
      </c>
      <c r="C79" t="s">
        <v>28</v>
      </c>
      <c r="D79" t="s">
        <v>29</v>
      </c>
      <c r="G79" t="s">
        <v>30</v>
      </c>
      <c r="H79" t="s">
        <v>309</v>
      </c>
      <c r="I79" t="s">
        <v>93</v>
      </c>
      <c r="J79" t="s">
        <v>94</v>
      </c>
      <c r="L79" t="s">
        <v>34</v>
      </c>
      <c r="M79" t="s">
        <v>35</v>
      </c>
      <c r="N79" t="s">
        <v>36</v>
      </c>
      <c r="P79" t="s">
        <v>310</v>
      </c>
      <c r="S79" t="s">
        <v>30</v>
      </c>
      <c r="V79" t="s">
        <v>36</v>
      </c>
      <c r="W79" t="s">
        <v>36</v>
      </c>
      <c r="Y79" t="s">
        <v>307</v>
      </c>
      <c r="AA79" t="s">
        <v>311</v>
      </c>
      <c r="AB79" s="16" t="s">
        <v>898</v>
      </c>
      <c r="AC79" t="str">
        <f>VLOOKUP(Y79,'впр данные'!A:B,2,1)</f>
        <v>продюсер, страт-п-с-26-09</v>
      </c>
      <c r="AD79" t="str">
        <f>VLOOKUP(Y79,'впр данные'!A:C,3,1)</f>
        <v>продюсер</v>
      </c>
    </row>
    <row r="80" spans="1:30" hidden="1" x14ac:dyDescent="0.3">
      <c r="A80">
        <v>352</v>
      </c>
      <c r="B80" t="s">
        <v>27</v>
      </c>
      <c r="C80" t="s">
        <v>28</v>
      </c>
      <c r="D80" t="s">
        <v>29</v>
      </c>
      <c r="G80" t="s">
        <v>30</v>
      </c>
      <c r="H80" t="s">
        <v>312</v>
      </c>
      <c r="I80" t="s">
        <v>93</v>
      </c>
      <c r="J80" t="s">
        <v>94</v>
      </c>
      <c r="L80" t="s">
        <v>34</v>
      </c>
      <c r="M80" t="s">
        <v>35</v>
      </c>
      <c r="N80" t="s">
        <v>36</v>
      </c>
      <c r="P80" t="s">
        <v>313</v>
      </c>
      <c r="S80" t="s">
        <v>30</v>
      </c>
      <c r="V80" t="s">
        <v>36</v>
      </c>
      <c r="W80" t="s">
        <v>36</v>
      </c>
      <c r="Y80" t="s">
        <v>307</v>
      </c>
      <c r="AA80" t="s">
        <v>314</v>
      </c>
      <c r="AB80" s="16" t="s">
        <v>898</v>
      </c>
      <c r="AC80" t="str">
        <f>VLOOKUP(Y80,'впр данные'!A:B,2,1)</f>
        <v>продюсер, страт-п-с-26-09</v>
      </c>
      <c r="AD80" t="str">
        <f>VLOOKUP(Y80,'впр данные'!A:C,3,1)</f>
        <v>продюсер</v>
      </c>
    </row>
    <row r="81" spans="1:30" hidden="1" x14ac:dyDescent="0.3">
      <c r="A81">
        <v>351</v>
      </c>
      <c r="B81" t="s">
        <v>27</v>
      </c>
      <c r="C81" t="s">
        <v>28</v>
      </c>
      <c r="D81" t="s">
        <v>29</v>
      </c>
      <c r="G81" t="s">
        <v>30</v>
      </c>
      <c r="H81" t="s">
        <v>315</v>
      </c>
      <c r="I81" t="s">
        <v>93</v>
      </c>
      <c r="J81" t="s">
        <v>94</v>
      </c>
      <c r="L81" t="s">
        <v>34</v>
      </c>
      <c r="M81" t="s">
        <v>35</v>
      </c>
      <c r="N81" t="s">
        <v>36</v>
      </c>
      <c r="P81" t="s">
        <v>316</v>
      </c>
      <c r="S81" t="s">
        <v>30</v>
      </c>
      <c r="V81" t="s">
        <v>36</v>
      </c>
      <c r="W81" t="s">
        <v>36</v>
      </c>
      <c r="Y81" t="s">
        <v>307</v>
      </c>
      <c r="AA81" t="s">
        <v>317</v>
      </c>
      <c r="AB81" s="16" t="s">
        <v>898</v>
      </c>
      <c r="AC81" t="str">
        <f>VLOOKUP(Y81,'впр данные'!A:B,2,1)</f>
        <v>продюсер, страт-п-с-26-09</v>
      </c>
      <c r="AD81" t="str">
        <f>VLOOKUP(Y81,'впр данные'!A:C,3,1)</f>
        <v>продюсер</v>
      </c>
    </row>
    <row r="82" spans="1:30" hidden="1" x14ac:dyDescent="0.3">
      <c r="A82">
        <v>350</v>
      </c>
      <c r="B82" t="s">
        <v>27</v>
      </c>
      <c r="C82" t="s">
        <v>28</v>
      </c>
      <c r="D82" t="s">
        <v>29</v>
      </c>
      <c r="G82" t="s">
        <v>30</v>
      </c>
      <c r="H82" t="s">
        <v>318</v>
      </c>
      <c r="I82" t="s">
        <v>93</v>
      </c>
      <c r="J82" t="s">
        <v>94</v>
      </c>
      <c r="L82" t="s">
        <v>34</v>
      </c>
      <c r="M82" t="s">
        <v>35</v>
      </c>
      <c r="N82" t="s">
        <v>36</v>
      </c>
      <c r="P82" t="s">
        <v>319</v>
      </c>
      <c r="S82" t="s">
        <v>30</v>
      </c>
      <c r="V82" t="s">
        <v>36</v>
      </c>
      <c r="W82" t="s">
        <v>36</v>
      </c>
      <c r="Y82" t="s">
        <v>307</v>
      </c>
      <c r="AA82" t="s">
        <v>320</v>
      </c>
      <c r="AB82" s="16" t="s">
        <v>898</v>
      </c>
      <c r="AC82" t="str">
        <f>VLOOKUP(Y82,'впр данные'!A:B,2,1)</f>
        <v>продюсер, страт-п-с-26-09</v>
      </c>
      <c r="AD82" t="str">
        <f>VLOOKUP(Y82,'впр данные'!A:C,3,1)</f>
        <v>продюсер</v>
      </c>
    </row>
    <row r="83" spans="1:30" hidden="1" x14ac:dyDescent="0.3">
      <c r="A83">
        <v>349</v>
      </c>
      <c r="B83" t="s">
        <v>27</v>
      </c>
      <c r="C83" t="s">
        <v>28</v>
      </c>
      <c r="D83" t="s">
        <v>29</v>
      </c>
      <c r="G83" t="s">
        <v>30</v>
      </c>
      <c r="H83" t="s">
        <v>321</v>
      </c>
      <c r="I83" t="s">
        <v>132</v>
      </c>
      <c r="J83" t="s">
        <v>133</v>
      </c>
      <c r="L83" t="s">
        <v>34</v>
      </c>
      <c r="M83" t="s">
        <v>35</v>
      </c>
      <c r="N83" t="s">
        <v>36</v>
      </c>
      <c r="P83" t="s">
        <v>322</v>
      </c>
      <c r="S83" t="s">
        <v>30</v>
      </c>
      <c r="V83" t="s">
        <v>36</v>
      </c>
      <c r="W83" t="s">
        <v>36</v>
      </c>
      <c r="Y83" t="s">
        <v>307</v>
      </c>
      <c r="AA83" t="s">
        <v>323</v>
      </c>
      <c r="AB83" s="16" t="s">
        <v>898</v>
      </c>
      <c r="AC83" t="str">
        <f>VLOOKUP(Y83,'впр данные'!A:B,2,1)</f>
        <v>продюсер, страт-п-с-26-09</v>
      </c>
      <c r="AD83" t="str">
        <f>VLOOKUP(Y83,'впр данные'!A:C,3,1)</f>
        <v>продюсер</v>
      </c>
    </row>
    <row r="84" spans="1:30" hidden="1" x14ac:dyDescent="0.3">
      <c r="A84">
        <v>348</v>
      </c>
      <c r="B84" t="s">
        <v>27</v>
      </c>
      <c r="C84" t="s">
        <v>28</v>
      </c>
      <c r="D84" t="s">
        <v>29</v>
      </c>
      <c r="G84" t="s">
        <v>30</v>
      </c>
      <c r="H84" t="s">
        <v>324</v>
      </c>
      <c r="I84" t="s">
        <v>132</v>
      </c>
      <c r="J84" t="s">
        <v>133</v>
      </c>
      <c r="L84" t="s">
        <v>34</v>
      </c>
      <c r="M84" t="s">
        <v>35</v>
      </c>
      <c r="N84" t="s">
        <v>36</v>
      </c>
      <c r="P84" t="s">
        <v>325</v>
      </c>
      <c r="S84" t="s">
        <v>30</v>
      </c>
      <c r="V84" t="s">
        <v>36</v>
      </c>
      <c r="W84" t="s">
        <v>36</v>
      </c>
      <c r="Y84" t="s">
        <v>307</v>
      </c>
      <c r="AA84" t="s">
        <v>326</v>
      </c>
      <c r="AB84" s="16" t="s">
        <v>898</v>
      </c>
      <c r="AC84" t="str">
        <f>VLOOKUP(Y84,'впр данные'!A:B,2,1)</f>
        <v>продюсер, страт-п-с-26-09</v>
      </c>
      <c r="AD84" t="str">
        <f>VLOOKUP(Y84,'впр данные'!A:C,3,1)</f>
        <v>продюсер</v>
      </c>
    </row>
    <row r="85" spans="1:30" hidden="1" x14ac:dyDescent="0.3">
      <c r="A85">
        <v>347</v>
      </c>
      <c r="B85" t="s">
        <v>27</v>
      </c>
      <c r="C85" t="s">
        <v>28</v>
      </c>
      <c r="D85" t="s">
        <v>29</v>
      </c>
      <c r="G85" t="s">
        <v>30</v>
      </c>
      <c r="H85" t="s">
        <v>327</v>
      </c>
      <c r="I85" t="s">
        <v>132</v>
      </c>
      <c r="J85" t="s">
        <v>133</v>
      </c>
      <c r="L85" t="s">
        <v>34</v>
      </c>
      <c r="M85" t="s">
        <v>35</v>
      </c>
      <c r="N85" t="s">
        <v>36</v>
      </c>
      <c r="P85" t="s">
        <v>328</v>
      </c>
      <c r="S85" t="s">
        <v>30</v>
      </c>
      <c r="V85" t="s">
        <v>36</v>
      </c>
      <c r="W85" t="s">
        <v>36</v>
      </c>
      <c r="Y85" t="s">
        <v>307</v>
      </c>
      <c r="AA85" t="s">
        <v>329</v>
      </c>
      <c r="AB85" s="16" t="s">
        <v>898</v>
      </c>
      <c r="AC85" t="str">
        <f>VLOOKUP(Y85,'впр данные'!A:B,2,1)</f>
        <v>продюсер, страт-п-с-26-09</v>
      </c>
      <c r="AD85" t="str">
        <f>VLOOKUP(Y85,'впр данные'!A:C,3,1)</f>
        <v>продюсер</v>
      </c>
    </row>
    <row r="86" spans="1:30" hidden="1" x14ac:dyDescent="0.3">
      <c r="A86">
        <v>346</v>
      </c>
      <c r="B86" t="s">
        <v>27</v>
      </c>
      <c r="C86" t="s">
        <v>28</v>
      </c>
      <c r="D86" t="s">
        <v>29</v>
      </c>
      <c r="G86" t="s">
        <v>30</v>
      </c>
      <c r="H86" t="s">
        <v>330</v>
      </c>
      <c r="I86" t="s">
        <v>132</v>
      </c>
      <c r="J86" t="s">
        <v>133</v>
      </c>
      <c r="L86" t="s">
        <v>34</v>
      </c>
      <c r="M86" t="s">
        <v>35</v>
      </c>
      <c r="N86" t="s">
        <v>36</v>
      </c>
      <c r="P86" t="s">
        <v>331</v>
      </c>
      <c r="S86" t="s">
        <v>30</v>
      </c>
      <c r="V86" t="s">
        <v>36</v>
      </c>
      <c r="W86" t="s">
        <v>36</v>
      </c>
      <c r="Y86" t="s">
        <v>307</v>
      </c>
      <c r="AA86" t="s">
        <v>332</v>
      </c>
      <c r="AB86" s="16" t="s">
        <v>898</v>
      </c>
      <c r="AC86" t="str">
        <f>VLOOKUP(Y86,'впр данные'!A:B,2,1)</f>
        <v>продюсер, страт-п-с-26-09</v>
      </c>
      <c r="AD86" t="str">
        <f>VLOOKUP(Y86,'впр данные'!A:C,3,1)</f>
        <v>продюсер</v>
      </c>
    </row>
    <row r="87" spans="1:30" hidden="1" x14ac:dyDescent="0.3">
      <c r="A87">
        <v>345</v>
      </c>
      <c r="B87" t="s">
        <v>27</v>
      </c>
      <c r="C87" t="s">
        <v>28</v>
      </c>
      <c r="D87" t="s">
        <v>29</v>
      </c>
      <c r="G87" t="s">
        <v>30</v>
      </c>
      <c r="H87" t="s">
        <v>333</v>
      </c>
      <c r="I87" t="s">
        <v>132</v>
      </c>
      <c r="J87" t="s">
        <v>133</v>
      </c>
      <c r="L87" t="s">
        <v>34</v>
      </c>
      <c r="M87" t="s">
        <v>35</v>
      </c>
      <c r="N87" t="s">
        <v>36</v>
      </c>
      <c r="P87" t="s">
        <v>334</v>
      </c>
      <c r="S87" t="s">
        <v>30</v>
      </c>
      <c r="V87" t="s">
        <v>36</v>
      </c>
      <c r="W87" t="s">
        <v>36</v>
      </c>
      <c r="Y87" t="s">
        <v>307</v>
      </c>
      <c r="AA87" t="s">
        <v>335</v>
      </c>
      <c r="AB87" s="16" t="s">
        <v>898</v>
      </c>
      <c r="AC87" t="str">
        <f>VLOOKUP(Y87,'впр данные'!A:B,2,1)</f>
        <v>продюсер, страт-п-с-26-09</v>
      </c>
      <c r="AD87" t="str">
        <f>VLOOKUP(Y87,'впр данные'!A:C,3,1)</f>
        <v>продюсер</v>
      </c>
    </row>
    <row r="88" spans="1:30" hidden="1" x14ac:dyDescent="0.3">
      <c r="A88">
        <v>344</v>
      </c>
      <c r="B88" t="s">
        <v>27</v>
      </c>
      <c r="C88" t="s">
        <v>28</v>
      </c>
      <c r="D88" t="s">
        <v>29</v>
      </c>
      <c r="G88" t="s">
        <v>30</v>
      </c>
      <c r="H88" t="s">
        <v>336</v>
      </c>
      <c r="I88" t="s">
        <v>132</v>
      </c>
      <c r="J88" t="s">
        <v>133</v>
      </c>
      <c r="L88" t="s">
        <v>34</v>
      </c>
      <c r="M88" t="s">
        <v>35</v>
      </c>
      <c r="N88" t="s">
        <v>36</v>
      </c>
      <c r="P88" t="s">
        <v>337</v>
      </c>
      <c r="S88" t="s">
        <v>30</v>
      </c>
      <c r="V88" t="s">
        <v>36</v>
      </c>
      <c r="W88" t="s">
        <v>36</v>
      </c>
      <c r="Y88" t="s">
        <v>307</v>
      </c>
      <c r="AA88" t="s">
        <v>338</v>
      </c>
      <c r="AB88" s="16" t="s">
        <v>898</v>
      </c>
      <c r="AC88" t="str">
        <f>VLOOKUP(Y88,'впр данные'!A:B,2,1)</f>
        <v>продюсер, страт-п-с-26-09</v>
      </c>
      <c r="AD88" t="str">
        <f>VLOOKUP(Y88,'впр данные'!A:C,3,1)</f>
        <v>продюсер</v>
      </c>
    </row>
    <row r="89" spans="1:30" hidden="1" x14ac:dyDescent="0.3">
      <c r="A89">
        <v>343</v>
      </c>
      <c r="B89" t="s">
        <v>27</v>
      </c>
      <c r="C89" t="s">
        <v>28</v>
      </c>
      <c r="D89" t="s">
        <v>29</v>
      </c>
      <c r="G89" t="s">
        <v>30</v>
      </c>
      <c r="H89" t="s">
        <v>339</v>
      </c>
      <c r="I89" t="s">
        <v>164</v>
      </c>
      <c r="J89" t="s">
        <v>340</v>
      </c>
      <c r="L89" t="s">
        <v>34</v>
      </c>
      <c r="M89" t="s">
        <v>35</v>
      </c>
      <c r="N89" t="s">
        <v>36</v>
      </c>
      <c r="P89" t="s">
        <v>341</v>
      </c>
      <c r="S89" t="s">
        <v>30</v>
      </c>
      <c r="V89" t="s">
        <v>36</v>
      </c>
      <c r="W89" t="s">
        <v>36</v>
      </c>
      <c r="Y89" t="s">
        <v>307</v>
      </c>
      <c r="AA89" t="s">
        <v>342</v>
      </c>
      <c r="AB89" s="16" t="s">
        <v>898</v>
      </c>
      <c r="AC89" t="str">
        <f>VLOOKUP(Y89,'впр данные'!A:B,2,1)</f>
        <v>продюсер, страт-п-с-26-09</v>
      </c>
      <c r="AD89" t="str">
        <f>VLOOKUP(Y89,'впр данные'!A:C,3,1)</f>
        <v>продюсер</v>
      </c>
    </row>
    <row r="90" spans="1:30" hidden="1" x14ac:dyDescent="0.3">
      <c r="A90">
        <v>341</v>
      </c>
      <c r="B90" t="s">
        <v>27</v>
      </c>
      <c r="C90" t="s">
        <v>28</v>
      </c>
      <c r="D90" t="s">
        <v>29</v>
      </c>
      <c r="G90" t="s">
        <v>30</v>
      </c>
      <c r="H90" t="s">
        <v>343</v>
      </c>
      <c r="I90" t="s">
        <v>164</v>
      </c>
      <c r="J90" t="s">
        <v>340</v>
      </c>
      <c r="L90" t="s">
        <v>34</v>
      </c>
      <c r="M90" t="s">
        <v>35</v>
      </c>
      <c r="N90" t="s">
        <v>36</v>
      </c>
      <c r="P90" t="s">
        <v>344</v>
      </c>
      <c r="S90" t="s">
        <v>30</v>
      </c>
      <c r="V90" t="s">
        <v>36</v>
      </c>
      <c r="W90" t="s">
        <v>36</v>
      </c>
      <c r="Y90" t="s">
        <v>307</v>
      </c>
      <c r="AA90" t="s">
        <v>345</v>
      </c>
      <c r="AB90" s="16" t="s">
        <v>898</v>
      </c>
      <c r="AC90" t="str">
        <f>VLOOKUP(Y90,'впр данные'!A:B,2,1)</f>
        <v>продюсер, страт-п-с-26-09</v>
      </c>
      <c r="AD90" t="str">
        <f>VLOOKUP(Y90,'впр данные'!A:C,3,1)</f>
        <v>продюсер</v>
      </c>
    </row>
    <row r="91" spans="1:30" hidden="1" x14ac:dyDescent="0.3">
      <c r="A91">
        <v>340</v>
      </c>
      <c r="B91" t="s">
        <v>27</v>
      </c>
      <c r="C91" t="s">
        <v>28</v>
      </c>
      <c r="D91" t="s">
        <v>29</v>
      </c>
      <c r="G91" t="s">
        <v>30</v>
      </c>
      <c r="H91" t="s">
        <v>346</v>
      </c>
      <c r="I91" t="s">
        <v>164</v>
      </c>
      <c r="J91" t="s">
        <v>340</v>
      </c>
      <c r="L91" t="s">
        <v>34</v>
      </c>
      <c r="M91" t="s">
        <v>35</v>
      </c>
      <c r="N91" t="s">
        <v>36</v>
      </c>
      <c r="P91" t="s">
        <v>347</v>
      </c>
      <c r="S91" t="s">
        <v>30</v>
      </c>
      <c r="V91" t="s">
        <v>36</v>
      </c>
      <c r="W91" t="s">
        <v>36</v>
      </c>
      <c r="Y91" t="s">
        <v>307</v>
      </c>
      <c r="AA91" t="s">
        <v>348</v>
      </c>
      <c r="AB91" s="16" t="s">
        <v>898</v>
      </c>
      <c r="AC91" t="str">
        <f>VLOOKUP(Y91,'впр данные'!A:B,2,1)</f>
        <v>продюсер, страт-п-с-26-09</v>
      </c>
      <c r="AD91" t="str">
        <f>VLOOKUP(Y91,'впр данные'!A:C,3,1)</f>
        <v>продюсер</v>
      </c>
    </row>
    <row r="92" spans="1:30" hidden="1" x14ac:dyDescent="0.3">
      <c r="A92">
        <v>339</v>
      </c>
      <c r="B92" t="s">
        <v>27</v>
      </c>
      <c r="C92" t="s">
        <v>28</v>
      </c>
      <c r="D92" t="s">
        <v>29</v>
      </c>
      <c r="G92" t="s">
        <v>30</v>
      </c>
      <c r="H92" t="s">
        <v>349</v>
      </c>
      <c r="I92" t="s">
        <v>164</v>
      </c>
      <c r="J92" t="s">
        <v>340</v>
      </c>
      <c r="L92" t="s">
        <v>34</v>
      </c>
      <c r="M92" t="s">
        <v>35</v>
      </c>
      <c r="N92" t="s">
        <v>36</v>
      </c>
      <c r="P92" t="s">
        <v>350</v>
      </c>
      <c r="S92" t="s">
        <v>30</v>
      </c>
      <c r="V92" t="s">
        <v>36</v>
      </c>
      <c r="W92" t="s">
        <v>36</v>
      </c>
      <c r="Y92" t="s">
        <v>307</v>
      </c>
      <c r="AA92" t="s">
        <v>351</v>
      </c>
      <c r="AB92" s="16" t="s">
        <v>898</v>
      </c>
      <c r="AC92" t="str">
        <f>VLOOKUP(Y92,'впр данные'!A:B,2,1)</f>
        <v>продюсер, страт-п-с-26-09</v>
      </c>
      <c r="AD92" t="str">
        <f>VLOOKUP(Y92,'впр данные'!A:C,3,1)</f>
        <v>продюсер</v>
      </c>
    </row>
    <row r="93" spans="1:30" hidden="1" x14ac:dyDescent="0.3">
      <c r="A93">
        <v>338</v>
      </c>
      <c r="B93" t="s">
        <v>27</v>
      </c>
      <c r="C93" t="s">
        <v>28</v>
      </c>
      <c r="D93" t="s">
        <v>29</v>
      </c>
      <c r="G93" t="s">
        <v>30</v>
      </c>
      <c r="H93" t="s">
        <v>352</v>
      </c>
      <c r="I93" t="s">
        <v>185</v>
      </c>
      <c r="J93" t="s">
        <v>186</v>
      </c>
      <c r="L93" t="s">
        <v>34</v>
      </c>
      <c r="M93" t="s">
        <v>35</v>
      </c>
      <c r="N93" t="s">
        <v>36</v>
      </c>
      <c r="P93" t="s">
        <v>353</v>
      </c>
      <c r="S93" t="s">
        <v>30</v>
      </c>
      <c r="V93" t="s">
        <v>36</v>
      </c>
      <c r="W93" t="s">
        <v>36</v>
      </c>
      <c r="Y93" t="s">
        <v>307</v>
      </c>
      <c r="AA93" t="s">
        <v>354</v>
      </c>
      <c r="AB93" s="16" t="s">
        <v>898</v>
      </c>
      <c r="AC93" t="str">
        <f>VLOOKUP(Y93,'впр данные'!A:B,2,1)</f>
        <v>продюсер, страт-п-с-26-09</v>
      </c>
      <c r="AD93" t="str">
        <f>VLOOKUP(Y93,'впр данные'!A:C,3,1)</f>
        <v>продюсер</v>
      </c>
    </row>
    <row r="94" spans="1:30" hidden="1" x14ac:dyDescent="0.3">
      <c r="A94">
        <v>337</v>
      </c>
      <c r="B94" t="s">
        <v>27</v>
      </c>
      <c r="C94" t="s">
        <v>28</v>
      </c>
      <c r="D94" t="s">
        <v>29</v>
      </c>
      <c r="G94" t="s">
        <v>30</v>
      </c>
      <c r="H94" t="s">
        <v>355</v>
      </c>
      <c r="I94" t="s">
        <v>185</v>
      </c>
      <c r="J94" t="s">
        <v>186</v>
      </c>
      <c r="L94" t="s">
        <v>34</v>
      </c>
      <c r="M94" t="s">
        <v>35</v>
      </c>
      <c r="N94" t="s">
        <v>36</v>
      </c>
      <c r="P94" t="s">
        <v>356</v>
      </c>
      <c r="S94" t="s">
        <v>30</v>
      </c>
      <c r="V94" t="s">
        <v>36</v>
      </c>
      <c r="W94" t="s">
        <v>36</v>
      </c>
      <c r="Y94" t="s">
        <v>307</v>
      </c>
      <c r="AA94" t="s">
        <v>357</v>
      </c>
      <c r="AB94" s="16" t="s">
        <v>898</v>
      </c>
      <c r="AC94" t="str">
        <f>VLOOKUP(Y94,'впр данные'!A:B,2,1)</f>
        <v>продюсер, страт-п-с-26-09</v>
      </c>
      <c r="AD94" t="str">
        <f>VLOOKUP(Y94,'впр данные'!A:C,3,1)</f>
        <v>продюсер</v>
      </c>
    </row>
    <row r="95" spans="1:30" hidden="1" x14ac:dyDescent="0.3">
      <c r="A95">
        <v>336</v>
      </c>
      <c r="B95" t="s">
        <v>27</v>
      </c>
      <c r="C95" t="s">
        <v>28</v>
      </c>
      <c r="D95" t="s">
        <v>29</v>
      </c>
      <c r="G95" t="s">
        <v>30</v>
      </c>
      <c r="H95" t="s">
        <v>358</v>
      </c>
      <c r="I95" t="s">
        <v>185</v>
      </c>
      <c r="J95" t="s">
        <v>186</v>
      </c>
      <c r="L95" t="s">
        <v>34</v>
      </c>
      <c r="M95" t="s">
        <v>35</v>
      </c>
      <c r="N95" t="s">
        <v>36</v>
      </c>
      <c r="P95" t="s">
        <v>359</v>
      </c>
      <c r="S95" t="s">
        <v>30</v>
      </c>
      <c r="V95" t="s">
        <v>36</v>
      </c>
      <c r="W95" t="s">
        <v>36</v>
      </c>
      <c r="Y95" t="s">
        <v>307</v>
      </c>
      <c r="AA95" t="s">
        <v>360</v>
      </c>
      <c r="AB95" s="16" t="s">
        <v>898</v>
      </c>
      <c r="AC95" t="str">
        <f>VLOOKUP(Y95,'впр данные'!A:B,2,1)</f>
        <v>продюсер, страт-п-с-26-09</v>
      </c>
      <c r="AD95" t="str">
        <f>VLOOKUP(Y95,'впр данные'!A:C,3,1)</f>
        <v>продюсер</v>
      </c>
    </row>
    <row r="96" spans="1:30" hidden="1" x14ac:dyDescent="0.3">
      <c r="A96">
        <v>335</v>
      </c>
      <c r="B96" t="s">
        <v>27</v>
      </c>
      <c r="C96" t="s">
        <v>28</v>
      </c>
      <c r="D96" t="s">
        <v>29</v>
      </c>
      <c r="G96" t="s">
        <v>30</v>
      </c>
      <c r="H96" t="s">
        <v>361</v>
      </c>
      <c r="I96" t="s">
        <v>185</v>
      </c>
      <c r="J96" t="s">
        <v>186</v>
      </c>
      <c r="L96" t="s">
        <v>34</v>
      </c>
      <c r="M96" t="s">
        <v>35</v>
      </c>
      <c r="N96" t="s">
        <v>36</v>
      </c>
      <c r="P96" t="s">
        <v>362</v>
      </c>
      <c r="S96" t="s">
        <v>30</v>
      </c>
      <c r="V96" t="s">
        <v>36</v>
      </c>
      <c r="W96" t="s">
        <v>36</v>
      </c>
      <c r="Y96" t="s">
        <v>307</v>
      </c>
      <c r="AA96" t="s">
        <v>363</v>
      </c>
      <c r="AB96" s="16" t="s">
        <v>898</v>
      </c>
      <c r="AC96" t="str">
        <f>VLOOKUP(Y96,'впр данные'!A:B,2,1)</f>
        <v>продюсер, страт-п-с-26-09</v>
      </c>
      <c r="AD96" t="str">
        <f>VLOOKUP(Y96,'впр данные'!A:C,3,1)</f>
        <v>продюсер</v>
      </c>
    </row>
    <row r="97" spans="1:30" hidden="1" x14ac:dyDescent="0.3">
      <c r="A97">
        <v>334</v>
      </c>
      <c r="B97" t="s">
        <v>27</v>
      </c>
      <c r="C97" t="s">
        <v>28</v>
      </c>
      <c r="D97" t="s">
        <v>29</v>
      </c>
      <c r="G97" t="s">
        <v>30</v>
      </c>
      <c r="H97" t="s">
        <v>364</v>
      </c>
      <c r="I97" t="s">
        <v>185</v>
      </c>
      <c r="J97" t="s">
        <v>186</v>
      </c>
      <c r="L97" t="s">
        <v>34</v>
      </c>
      <c r="M97" t="s">
        <v>35</v>
      </c>
      <c r="N97" t="s">
        <v>36</v>
      </c>
      <c r="P97" t="s">
        <v>365</v>
      </c>
      <c r="S97" t="s">
        <v>30</v>
      </c>
      <c r="V97" t="s">
        <v>36</v>
      </c>
      <c r="W97" t="s">
        <v>36</v>
      </c>
      <c r="Y97" t="s">
        <v>307</v>
      </c>
      <c r="AA97" t="s">
        <v>366</v>
      </c>
      <c r="AB97" s="16" t="s">
        <v>898</v>
      </c>
      <c r="AC97" t="str">
        <f>VLOOKUP(Y97,'впр данные'!A:B,2,1)</f>
        <v>продюсер, страт-п-с-26-09</v>
      </c>
      <c r="AD97" t="str">
        <f>VLOOKUP(Y97,'впр данные'!A:C,3,1)</f>
        <v>продюсер</v>
      </c>
    </row>
    <row r="98" spans="1:30" hidden="1" x14ac:dyDescent="0.3">
      <c r="A98">
        <v>333</v>
      </c>
      <c r="B98" t="s">
        <v>27</v>
      </c>
      <c r="C98" t="s">
        <v>28</v>
      </c>
      <c r="D98" t="s">
        <v>29</v>
      </c>
      <c r="G98" t="s">
        <v>30</v>
      </c>
      <c r="H98" t="s">
        <v>367</v>
      </c>
      <c r="I98" t="s">
        <v>185</v>
      </c>
      <c r="J98" t="s">
        <v>186</v>
      </c>
      <c r="L98" t="s">
        <v>34</v>
      </c>
      <c r="M98" t="s">
        <v>35</v>
      </c>
      <c r="N98" t="s">
        <v>36</v>
      </c>
      <c r="P98" t="s">
        <v>368</v>
      </c>
      <c r="S98" t="s">
        <v>30</v>
      </c>
      <c r="V98" t="s">
        <v>36</v>
      </c>
      <c r="W98" t="s">
        <v>36</v>
      </c>
      <c r="Y98" t="s">
        <v>307</v>
      </c>
      <c r="AA98" t="s">
        <v>369</v>
      </c>
      <c r="AB98" s="16" t="s">
        <v>898</v>
      </c>
      <c r="AC98" t="str">
        <f>VLOOKUP(Y98,'впр данные'!A:B,2,1)</f>
        <v>продюсер, страт-п-с-26-09</v>
      </c>
      <c r="AD98" t="str">
        <f>VLOOKUP(Y98,'впр данные'!A:C,3,1)</f>
        <v>продюсер</v>
      </c>
    </row>
    <row r="99" spans="1:30" hidden="1" x14ac:dyDescent="0.3">
      <c r="A99">
        <v>332</v>
      </c>
      <c r="B99" t="s">
        <v>27</v>
      </c>
      <c r="C99" t="s">
        <v>28</v>
      </c>
      <c r="D99" t="s">
        <v>29</v>
      </c>
      <c r="G99" t="s">
        <v>30</v>
      </c>
      <c r="H99" t="s">
        <v>370</v>
      </c>
      <c r="I99" t="s">
        <v>199</v>
      </c>
      <c r="J99" t="s">
        <v>200</v>
      </c>
      <c r="L99" t="s">
        <v>34</v>
      </c>
      <c r="M99" t="s">
        <v>35</v>
      </c>
      <c r="N99" t="s">
        <v>36</v>
      </c>
      <c r="P99" t="s">
        <v>371</v>
      </c>
      <c r="S99" t="s">
        <v>30</v>
      </c>
      <c r="V99" t="s">
        <v>36</v>
      </c>
      <c r="W99" t="s">
        <v>36</v>
      </c>
      <c r="Y99" t="s">
        <v>307</v>
      </c>
      <c r="AA99" t="s">
        <v>372</v>
      </c>
      <c r="AB99" s="16" t="s">
        <v>898</v>
      </c>
      <c r="AC99" t="str">
        <f>VLOOKUP(Y99,'впр данные'!A:B,2,1)</f>
        <v>продюсер, страт-п-с-26-09</v>
      </c>
      <c r="AD99" t="str">
        <f>VLOOKUP(Y99,'впр данные'!A:C,3,1)</f>
        <v>продюсер</v>
      </c>
    </row>
    <row r="100" spans="1:30" hidden="1" x14ac:dyDescent="0.3">
      <c r="A100">
        <v>331</v>
      </c>
      <c r="B100" t="s">
        <v>27</v>
      </c>
      <c r="C100" t="s">
        <v>28</v>
      </c>
      <c r="D100" t="s">
        <v>29</v>
      </c>
      <c r="G100" t="s">
        <v>30</v>
      </c>
      <c r="H100" t="s">
        <v>373</v>
      </c>
      <c r="I100" t="s">
        <v>199</v>
      </c>
      <c r="J100" t="s">
        <v>200</v>
      </c>
      <c r="L100" t="s">
        <v>34</v>
      </c>
      <c r="M100" t="s">
        <v>35</v>
      </c>
      <c r="N100" t="s">
        <v>36</v>
      </c>
      <c r="P100" t="s">
        <v>374</v>
      </c>
      <c r="S100" t="s">
        <v>30</v>
      </c>
      <c r="V100" t="s">
        <v>36</v>
      </c>
      <c r="W100" t="s">
        <v>36</v>
      </c>
      <c r="Y100" t="s">
        <v>307</v>
      </c>
      <c r="AA100" t="s">
        <v>375</v>
      </c>
      <c r="AB100" s="16" t="s">
        <v>898</v>
      </c>
      <c r="AC100" t="str">
        <f>VLOOKUP(Y100,'впр данные'!A:B,2,1)</f>
        <v>продюсер, страт-п-с-26-09</v>
      </c>
      <c r="AD100" t="str">
        <f>VLOOKUP(Y100,'впр данные'!A:C,3,1)</f>
        <v>продюсер</v>
      </c>
    </row>
    <row r="101" spans="1:30" hidden="1" x14ac:dyDescent="0.3">
      <c r="A101">
        <v>330</v>
      </c>
      <c r="B101" t="s">
        <v>27</v>
      </c>
      <c r="C101" t="s">
        <v>28</v>
      </c>
      <c r="D101" t="s">
        <v>29</v>
      </c>
      <c r="G101" t="s">
        <v>30</v>
      </c>
      <c r="H101" t="s">
        <v>376</v>
      </c>
      <c r="I101" t="s">
        <v>199</v>
      </c>
      <c r="J101" t="s">
        <v>200</v>
      </c>
      <c r="L101" t="s">
        <v>34</v>
      </c>
      <c r="M101" t="s">
        <v>35</v>
      </c>
      <c r="N101" t="s">
        <v>36</v>
      </c>
      <c r="P101" t="s">
        <v>377</v>
      </c>
      <c r="S101" t="s">
        <v>30</v>
      </c>
      <c r="V101" t="s">
        <v>36</v>
      </c>
      <c r="W101" t="s">
        <v>36</v>
      </c>
      <c r="Y101" t="s">
        <v>307</v>
      </c>
      <c r="AA101" t="s">
        <v>378</v>
      </c>
      <c r="AB101" s="16" t="s">
        <v>898</v>
      </c>
      <c r="AC101" t="str">
        <f>VLOOKUP(Y101,'впр данные'!A:B,2,1)</f>
        <v>продюсер, страт-п-с-26-09</v>
      </c>
      <c r="AD101" t="str">
        <f>VLOOKUP(Y101,'впр данные'!A:C,3,1)</f>
        <v>продюсер</v>
      </c>
    </row>
    <row r="102" spans="1:30" hidden="1" x14ac:dyDescent="0.3">
      <c r="A102">
        <v>329</v>
      </c>
      <c r="B102" t="s">
        <v>27</v>
      </c>
      <c r="C102" t="s">
        <v>28</v>
      </c>
      <c r="D102" t="s">
        <v>29</v>
      </c>
      <c r="G102" t="s">
        <v>30</v>
      </c>
      <c r="H102" t="s">
        <v>379</v>
      </c>
      <c r="I102" t="s">
        <v>199</v>
      </c>
      <c r="J102" t="s">
        <v>200</v>
      </c>
      <c r="L102" t="s">
        <v>34</v>
      </c>
      <c r="M102" t="s">
        <v>35</v>
      </c>
      <c r="N102" t="s">
        <v>36</v>
      </c>
      <c r="P102" t="s">
        <v>380</v>
      </c>
      <c r="S102" t="s">
        <v>30</v>
      </c>
      <c r="V102" t="s">
        <v>36</v>
      </c>
      <c r="W102" t="s">
        <v>36</v>
      </c>
      <c r="Y102" t="s">
        <v>307</v>
      </c>
      <c r="AA102" t="s">
        <v>381</v>
      </c>
      <c r="AB102" s="16" t="s">
        <v>898</v>
      </c>
      <c r="AC102" t="str">
        <f>VLOOKUP(Y102,'впр данные'!A:B,2,1)</f>
        <v>продюсер, страт-п-с-26-09</v>
      </c>
      <c r="AD102" t="str">
        <f>VLOOKUP(Y102,'впр данные'!A:C,3,1)</f>
        <v>продюсер</v>
      </c>
    </row>
    <row r="103" spans="1:30" hidden="1" x14ac:dyDescent="0.3">
      <c r="A103">
        <v>323</v>
      </c>
      <c r="B103" t="s">
        <v>27</v>
      </c>
      <c r="C103" t="s">
        <v>28</v>
      </c>
      <c r="D103" t="s">
        <v>29</v>
      </c>
      <c r="G103" t="s">
        <v>30</v>
      </c>
      <c r="H103" t="s">
        <v>382</v>
      </c>
      <c r="I103" t="s">
        <v>218</v>
      </c>
      <c r="J103" t="s">
        <v>219</v>
      </c>
      <c r="L103" t="s">
        <v>34</v>
      </c>
      <c r="M103" t="s">
        <v>35</v>
      </c>
      <c r="N103" t="s">
        <v>36</v>
      </c>
      <c r="P103" t="s">
        <v>383</v>
      </c>
      <c r="S103" t="s">
        <v>30</v>
      </c>
      <c r="V103" t="s">
        <v>36</v>
      </c>
      <c r="W103" t="s">
        <v>36</v>
      </c>
      <c r="Y103" t="s">
        <v>307</v>
      </c>
      <c r="AA103" t="s">
        <v>384</v>
      </c>
      <c r="AB103" s="16" t="s">
        <v>898</v>
      </c>
      <c r="AC103" t="str">
        <f>VLOOKUP(Y103,'впр данные'!A:B,2,1)</f>
        <v>продюсер, страт-п-с-26-09</v>
      </c>
      <c r="AD103" t="str">
        <f>VLOOKUP(Y103,'впр данные'!A:C,3,1)</f>
        <v>продюсер</v>
      </c>
    </row>
    <row r="104" spans="1:30" hidden="1" x14ac:dyDescent="0.3">
      <c r="A104">
        <v>322</v>
      </c>
      <c r="B104" t="s">
        <v>27</v>
      </c>
      <c r="C104" t="s">
        <v>28</v>
      </c>
      <c r="D104" t="s">
        <v>29</v>
      </c>
      <c r="G104" t="s">
        <v>30</v>
      </c>
      <c r="H104" t="s">
        <v>385</v>
      </c>
      <c r="I104" t="s">
        <v>218</v>
      </c>
      <c r="J104" t="s">
        <v>219</v>
      </c>
      <c r="L104" t="s">
        <v>34</v>
      </c>
      <c r="M104" t="s">
        <v>35</v>
      </c>
      <c r="N104" t="s">
        <v>36</v>
      </c>
      <c r="P104" t="s">
        <v>386</v>
      </c>
      <c r="S104" t="s">
        <v>30</v>
      </c>
      <c r="V104" t="s">
        <v>36</v>
      </c>
      <c r="W104" t="s">
        <v>36</v>
      </c>
      <c r="Y104" t="s">
        <v>307</v>
      </c>
      <c r="AA104" t="s">
        <v>387</v>
      </c>
      <c r="AB104" s="16" t="s">
        <v>898</v>
      </c>
      <c r="AC104" t="str">
        <f>VLOOKUP(Y104,'впр данные'!A:B,2,1)</f>
        <v>продюсер, страт-п-с-26-09</v>
      </c>
      <c r="AD104" t="str">
        <f>VLOOKUP(Y104,'впр данные'!A:C,3,1)</f>
        <v>продюсер</v>
      </c>
    </row>
    <row r="105" spans="1:30" hidden="1" x14ac:dyDescent="0.3">
      <c r="A105">
        <v>321</v>
      </c>
      <c r="B105" t="s">
        <v>27</v>
      </c>
      <c r="C105" t="s">
        <v>28</v>
      </c>
      <c r="D105" t="s">
        <v>29</v>
      </c>
      <c r="G105" t="s">
        <v>30</v>
      </c>
      <c r="H105" t="s">
        <v>388</v>
      </c>
      <c r="I105" t="s">
        <v>218</v>
      </c>
      <c r="J105" t="s">
        <v>219</v>
      </c>
      <c r="L105" t="s">
        <v>34</v>
      </c>
      <c r="M105" t="s">
        <v>35</v>
      </c>
      <c r="N105" t="s">
        <v>36</v>
      </c>
      <c r="P105" t="s">
        <v>389</v>
      </c>
      <c r="S105" t="s">
        <v>30</v>
      </c>
      <c r="V105" t="s">
        <v>36</v>
      </c>
      <c r="W105" t="s">
        <v>36</v>
      </c>
      <c r="Y105" t="s">
        <v>307</v>
      </c>
      <c r="AA105" t="s">
        <v>390</v>
      </c>
      <c r="AB105" s="16" t="s">
        <v>898</v>
      </c>
      <c r="AC105" t="str">
        <f>VLOOKUP(Y105,'впр данные'!A:B,2,1)</f>
        <v>продюсер, страт-п-с-26-09</v>
      </c>
      <c r="AD105" t="str">
        <f>VLOOKUP(Y105,'впр данные'!A:C,3,1)</f>
        <v>продюсер</v>
      </c>
    </row>
    <row r="106" spans="1:30" hidden="1" x14ac:dyDescent="0.3">
      <c r="A106">
        <v>319</v>
      </c>
      <c r="B106" t="s">
        <v>27</v>
      </c>
      <c r="C106" t="s">
        <v>28</v>
      </c>
      <c r="D106" t="s">
        <v>29</v>
      </c>
      <c r="G106" t="s">
        <v>30</v>
      </c>
      <c r="H106" t="s">
        <v>391</v>
      </c>
      <c r="I106" t="s">
        <v>226</v>
      </c>
      <c r="J106" t="s">
        <v>227</v>
      </c>
      <c r="L106" t="s">
        <v>34</v>
      </c>
      <c r="M106" t="s">
        <v>35</v>
      </c>
      <c r="N106" t="s">
        <v>36</v>
      </c>
      <c r="P106" t="s">
        <v>392</v>
      </c>
      <c r="S106" t="s">
        <v>30</v>
      </c>
      <c r="V106" t="s">
        <v>36</v>
      </c>
      <c r="W106" t="s">
        <v>36</v>
      </c>
      <c r="Y106" t="s">
        <v>307</v>
      </c>
      <c r="AA106" t="s">
        <v>393</v>
      </c>
      <c r="AB106" s="16" t="s">
        <v>898</v>
      </c>
      <c r="AC106" t="str">
        <f>VLOOKUP(Y106,'впр данные'!A:B,2,1)</f>
        <v>продюсер, страт-п-с-26-09</v>
      </c>
      <c r="AD106" t="str">
        <f>VLOOKUP(Y106,'впр данные'!A:C,3,1)</f>
        <v>продюсер</v>
      </c>
    </row>
    <row r="107" spans="1:30" hidden="1" x14ac:dyDescent="0.3">
      <c r="A107">
        <v>318</v>
      </c>
      <c r="B107" t="s">
        <v>27</v>
      </c>
      <c r="C107" t="s">
        <v>28</v>
      </c>
      <c r="D107" t="s">
        <v>29</v>
      </c>
      <c r="G107" t="s">
        <v>30</v>
      </c>
      <c r="H107" t="s">
        <v>394</v>
      </c>
      <c r="I107" t="s">
        <v>226</v>
      </c>
      <c r="J107" t="s">
        <v>227</v>
      </c>
      <c r="L107" t="s">
        <v>34</v>
      </c>
      <c r="M107" t="s">
        <v>35</v>
      </c>
      <c r="N107" t="s">
        <v>36</v>
      </c>
      <c r="P107" t="s">
        <v>395</v>
      </c>
      <c r="S107" t="s">
        <v>30</v>
      </c>
      <c r="V107" t="s">
        <v>36</v>
      </c>
      <c r="W107" t="s">
        <v>36</v>
      </c>
      <c r="Y107" t="s">
        <v>307</v>
      </c>
      <c r="AA107" t="s">
        <v>396</v>
      </c>
      <c r="AB107" s="16" t="s">
        <v>898</v>
      </c>
      <c r="AC107" t="str">
        <f>VLOOKUP(Y107,'впр данные'!A:B,2,1)</f>
        <v>продюсер, страт-п-с-26-09</v>
      </c>
      <c r="AD107" t="str">
        <f>VLOOKUP(Y107,'впр данные'!A:C,3,1)</f>
        <v>продюсер</v>
      </c>
    </row>
    <row r="108" spans="1:30" hidden="1" x14ac:dyDescent="0.3">
      <c r="A108">
        <v>312</v>
      </c>
      <c r="B108" t="s">
        <v>27</v>
      </c>
      <c r="C108" t="s">
        <v>28</v>
      </c>
      <c r="D108" t="s">
        <v>29</v>
      </c>
      <c r="G108" t="s">
        <v>30</v>
      </c>
      <c r="H108" t="s">
        <v>397</v>
      </c>
      <c r="I108" t="s">
        <v>248</v>
      </c>
      <c r="J108" t="s">
        <v>249</v>
      </c>
      <c r="L108" t="s">
        <v>34</v>
      </c>
      <c r="M108" t="s">
        <v>35</v>
      </c>
      <c r="N108" t="s">
        <v>36</v>
      </c>
      <c r="P108" t="s">
        <v>398</v>
      </c>
      <c r="S108" t="s">
        <v>30</v>
      </c>
      <c r="V108" t="s">
        <v>36</v>
      </c>
      <c r="W108" t="s">
        <v>36</v>
      </c>
      <c r="Y108" t="s">
        <v>399</v>
      </c>
      <c r="AA108" t="s">
        <v>400</v>
      </c>
      <c r="AB108" s="16" t="s">
        <v>898</v>
      </c>
      <c r="AC108" t="str">
        <f>VLOOKUP(Y108,'впр данные'!A:B,2,1)</f>
        <v>продюсер, страт-п-с-26-09</v>
      </c>
      <c r="AD108" t="str">
        <f>VLOOKUP(Y108,'впр данные'!A:C,3,1)</f>
        <v>продюсер</v>
      </c>
    </row>
    <row r="109" spans="1:30" hidden="1" x14ac:dyDescent="0.3">
      <c r="A109">
        <v>311</v>
      </c>
      <c r="B109" t="s">
        <v>27</v>
      </c>
      <c r="C109" t="s">
        <v>28</v>
      </c>
      <c r="D109" t="s">
        <v>29</v>
      </c>
      <c r="G109" t="s">
        <v>30</v>
      </c>
      <c r="H109" t="s">
        <v>401</v>
      </c>
      <c r="I109" t="s">
        <v>248</v>
      </c>
      <c r="J109" t="s">
        <v>249</v>
      </c>
      <c r="L109" t="s">
        <v>34</v>
      </c>
      <c r="M109" t="s">
        <v>35</v>
      </c>
      <c r="N109" t="s">
        <v>36</v>
      </c>
      <c r="P109" t="s">
        <v>402</v>
      </c>
      <c r="S109" t="s">
        <v>30</v>
      </c>
      <c r="V109" t="s">
        <v>36</v>
      </c>
      <c r="W109" t="s">
        <v>36</v>
      </c>
      <c r="Y109" t="s">
        <v>399</v>
      </c>
      <c r="AA109" t="s">
        <v>403</v>
      </c>
      <c r="AB109" s="16" t="s">
        <v>898</v>
      </c>
      <c r="AC109" t="str">
        <f>VLOOKUP(Y109,'впр данные'!A:B,2,1)</f>
        <v>продюсер, страт-п-с-26-09</v>
      </c>
      <c r="AD109" t="str">
        <f>VLOOKUP(Y109,'впр данные'!A:C,3,1)</f>
        <v>продюсер</v>
      </c>
    </row>
    <row r="110" spans="1:30" hidden="1" x14ac:dyDescent="0.3">
      <c r="A110">
        <v>308</v>
      </c>
      <c r="B110" t="s">
        <v>27</v>
      </c>
      <c r="C110" t="s">
        <v>28</v>
      </c>
      <c r="D110" t="s">
        <v>29</v>
      </c>
      <c r="G110" t="s">
        <v>30</v>
      </c>
      <c r="H110" t="s">
        <v>404</v>
      </c>
      <c r="I110" t="s">
        <v>41</v>
      </c>
      <c r="J110" t="s">
        <v>42</v>
      </c>
      <c r="L110" t="s">
        <v>34</v>
      </c>
      <c r="M110" t="s">
        <v>35</v>
      </c>
      <c r="N110" t="s">
        <v>36</v>
      </c>
      <c r="P110" t="s">
        <v>405</v>
      </c>
      <c r="S110" t="s">
        <v>30</v>
      </c>
      <c r="V110" t="s">
        <v>36</v>
      </c>
      <c r="W110" t="s">
        <v>36</v>
      </c>
      <c r="Y110" t="s">
        <v>399</v>
      </c>
      <c r="AA110" t="s">
        <v>406</v>
      </c>
      <c r="AB110" s="16" t="s">
        <v>898</v>
      </c>
      <c r="AC110" t="str">
        <f>VLOOKUP(Y110,'впр данные'!A:B,2,1)</f>
        <v>продюсер, страт-п-с-26-09</v>
      </c>
      <c r="AD110" t="str">
        <f>VLOOKUP(Y110,'впр данные'!A:C,3,1)</f>
        <v>продюсер</v>
      </c>
    </row>
    <row r="111" spans="1:30" hidden="1" x14ac:dyDescent="0.3">
      <c r="A111">
        <v>307</v>
      </c>
      <c r="B111" t="s">
        <v>27</v>
      </c>
      <c r="C111" t="s">
        <v>28</v>
      </c>
      <c r="D111" t="s">
        <v>29</v>
      </c>
      <c r="E111" t="s">
        <v>404</v>
      </c>
      <c r="F111" t="s">
        <v>404</v>
      </c>
      <c r="G111" t="s">
        <v>30</v>
      </c>
      <c r="H111" t="s">
        <v>407</v>
      </c>
      <c r="I111" t="s">
        <v>41</v>
      </c>
      <c r="J111" t="s">
        <v>42</v>
      </c>
      <c r="L111" t="s">
        <v>34</v>
      </c>
      <c r="M111" t="s">
        <v>35</v>
      </c>
      <c r="N111" t="s">
        <v>36</v>
      </c>
      <c r="P111" t="s">
        <v>408</v>
      </c>
      <c r="S111" t="s">
        <v>30</v>
      </c>
      <c r="V111" t="s">
        <v>36</v>
      </c>
      <c r="W111" t="s">
        <v>36</v>
      </c>
      <c r="Y111" t="s">
        <v>399</v>
      </c>
      <c r="AA111" t="s">
        <v>409</v>
      </c>
      <c r="AB111" s="16" t="s">
        <v>898</v>
      </c>
      <c r="AC111" t="str">
        <f>VLOOKUP(Y111,'впр данные'!A:B,2,1)</f>
        <v>продюсер, страт-п-с-26-09</v>
      </c>
      <c r="AD111" t="str">
        <f>VLOOKUP(Y111,'впр данные'!A:C,3,1)</f>
        <v>продюсер</v>
      </c>
    </row>
    <row r="112" spans="1:30" hidden="1" x14ac:dyDescent="0.3">
      <c r="A112">
        <v>306</v>
      </c>
      <c r="B112" t="s">
        <v>27</v>
      </c>
      <c r="C112" t="s">
        <v>28</v>
      </c>
      <c r="D112" t="s">
        <v>29</v>
      </c>
      <c r="G112" t="s">
        <v>30</v>
      </c>
      <c r="H112" t="s">
        <v>410</v>
      </c>
      <c r="I112" t="s">
        <v>41</v>
      </c>
      <c r="J112" t="s">
        <v>42</v>
      </c>
      <c r="L112" t="s">
        <v>34</v>
      </c>
      <c r="M112" t="s">
        <v>35</v>
      </c>
      <c r="N112" t="s">
        <v>36</v>
      </c>
      <c r="P112" t="s">
        <v>411</v>
      </c>
      <c r="S112" t="s">
        <v>30</v>
      </c>
      <c r="V112" t="s">
        <v>36</v>
      </c>
      <c r="W112" t="s">
        <v>36</v>
      </c>
      <c r="Y112" t="s">
        <v>399</v>
      </c>
      <c r="AA112" t="s">
        <v>412</v>
      </c>
      <c r="AB112" s="16" t="s">
        <v>898</v>
      </c>
      <c r="AC112" t="str">
        <f>VLOOKUP(Y112,'впр данные'!A:B,2,1)</f>
        <v>продюсер, страт-п-с-26-09</v>
      </c>
      <c r="AD112" t="str">
        <f>VLOOKUP(Y112,'впр данные'!A:C,3,1)</f>
        <v>продюсер</v>
      </c>
    </row>
    <row r="113" spans="1:30" hidden="1" x14ac:dyDescent="0.3">
      <c r="A113">
        <v>305</v>
      </c>
      <c r="B113" t="s">
        <v>27</v>
      </c>
      <c r="C113" t="s">
        <v>28</v>
      </c>
      <c r="D113" t="s">
        <v>29</v>
      </c>
      <c r="G113" t="s">
        <v>30</v>
      </c>
      <c r="H113" t="s">
        <v>413</v>
      </c>
      <c r="I113" t="s">
        <v>265</v>
      </c>
      <c r="J113" t="s">
        <v>266</v>
      </c>
      <c r="L113" t="s">
        <v>34</v>
      </c>
      <c r="M113" t="s">
        <v>35</v>
      </c>
      <c r="N113" t="s">
        <v>36</v>
      </c>
      <c r="P113" t="s">
        <v>414</v>
      </c>
      <c r="S113" t="s">
        <v>30</v>
      </c>
      <c r="V113" t="s">
        <v>36</v>
      </c>
      <c r="W113" t="s">
        <v>36</v>
      </c>
      <c r="Y113" t="s">
        <v>399</v>
      </c>
      <c r="AA113" t="s">
        <v>415</v>
      </c>
      <c r="AB113" s="16" t="s">
        <v>898</v>
      </c>
      <c r="AC113" t="str">
        <f>VLOOKUP(Y113,'впр данные'!A:B,2,1)</f>
        <v>продюсер, страт-п-с-26-09</v>
      </c>
      <c r="AD113" t="str">
        <f>VLOOKUP(Y113,'впр данные'!A:C,3,1)</f>
        <v>продюсер</v>
      </c>
    </row>
    <row r="114" spans="1:30" hidden="1" x14ac:dyDescent="0.3">
      <c r="A114">
        <v>303</v>
      </c>
      <c r="B114" t="s">
        <v>27</v>
      </c>
      <c r="C114" t="s">
        <v>28</v>
      </c>
      <c r="D114" t="s">
        <v>29</v>
      </c>
      <c r="G114" t="s">
        <v>30</v>
      </c>
      <c r="H114" t="s">
        <v>416</v>
      </c>
      <c r="I114" t="s">
        <v>32</v>
      </c>
      <c r="J114" t="s">
        <v>33</v>
      </c>
      <c r="L114" t="s">
        <v>34</v>
      </c>
      <c r="M114" t="s">
        <v>35</v>
      </c>
      <c r="N114" t="s">
        <v>36</v>
      </c>
      <c r="P114" t="s">
        <v>417</v>
      </c>
      <c r="R114" t="s">
        <v>418</v>
      </c>
      <c r="S114" t="s">
        <v>419</v>
      </c>
      <c r="V114" t="s">
        <v>36</v>
      </c>
      <c r="W114" t="s">
        <v>36</v>
      </c>
      <c r="Y114" t="s">
        <v>420</v>
      </c>
      <c r="AA114" t="s">
        <v>421</v>
      </c>
      <c r="AB114" s="16" t="s">
        <v>898</v>
      </c>
      <c r="AC114" t="str">
        <f>VLOOKUP(Y114,'впр данные'!A:B,2,1)</f>
        <v>страт-п-с-26-09, ШП, финиш вехи Post</v>
      </c>
      <c r="AD114" t="str">
        <f>VLOOKUP(Y114,'впр данные'!A:C,3,1)</f>
        <v>Операцоинный директор</v>
      </c>
    </row>
    <row r="115" spans="1:30" hidden="1" x14ac:dyDescent="0.3">
      <c r="A115">
        <v>302</v>
      </c>
      <c r="B115" t="s">
        <v>27</v>
      </c>
      <c r="C115" t="s">
        <v>28</v>
      </c>
      <c r="D115" t="s">
        <v>29</v>
      </c>
      <c r="G115" t="s">
        <v>30</v>
      </c>
      <c r="H115" t="s">
        <v>422</v>
      </c>
      <c r="I115" t="s">
        <v>226</v>
      </c>
      <c r="J115" t="s">
        <v>227</v>
      </c>
      <c r="L115" t="s">
        <v>34</v>
      </c>
      <c r="M115" t="s">
        <v>35</v>
      </c>
      <c r="N115" t="s">
        <v>36</v>
      </c>
      <c r="P115" t="s">
        <v>423</v>
      </c>
      <c r="R115" t="s">
        <v>418</v>
      </c>
      <c r="S115" t="s">
        <v>419</v>
      </c>
      <c r="V115" t="s">
        <v>36</v>
      </c>
      <c r="W115" t="s">
        <v>36</v>
      </c>
      <c r="Y115" t="s">
        <v>424</v>
      </c>
      <c r="AA115" t="s">
        <v>425</v>
      </c>
      <c r="AB115" s="16" t="s">
        <v>898</v>
      </c>
      <c r="AC115" t="str">
        <f>VLOOKUP(Y115,'впр данные'!A:B,2,1)</f>
        <v>страт-п-с-26-09, ШП, старт вехи Pro</v>
      </c>
      <c r="AD115" t="str">
        <f>VLOOKUP(Y115,'впр данные'!A:C,3,1)</f>
        <v>Операцоинный директор</v>
      </c>
    </row>
    <row r="116" spans="1:30" hidden="1" x14ac:dyDescent="0.3">
      <c r="A116">
        <v>301</v>
      </c>
      <c r="B116" t="s">
        <v>27</v>
      </c>
      <c r="C116" t="s">
        <v>28</v>
      </c>
      <c r="D116" t="s">
        <v>29</v>
      </c>
      <c r="G116" t="s">
        <v>30</v>
      </c>
      <c r="H116" t="s">
        <v>426</v>
      </c>
      <c r="I116" t="s">
        <v>64</v>
      </c>
      <c r="J116" t="s">
        <v>427</v>
      </c>
      <c r="L116" t="s">
        <v>34</v>
      </c>
      <c r="M116" t="s">
        <v>35</v>
      </c>
      <c r="N116" t="s">
        <v>36</v>
      </c>
      <c r="P116" t="s">
        <v>428</v>
      </c>
      <c r="R116" t="s">
        <v>418</v>
      </c>
      <c r="S116" t="s">
        <v>419</v>
      </c>
      <c r="V116" t="s">
        <v>36</v>
      </c>
      <c r="W116" t="s">
        <v>36</v>
      </c>
      <c r="Y116" t="s">
        <v>429</v>
      </c>
      <c r="AA116" t="s">
        <v>430</v>
      </c>
      <c r="AB116" s="16" t="s">
        <v>898</v>
      </c>
      <c r="AC116" t="str">
        <f>VLOOKUP(Y116,'впр данные'!A:B,2,1)</f>
        <v>страт-п-с-26-09, ШП, Старт вехи Pre</v>
      </c>
      <c r="AD116" t="str">
        <f>VLOOKUP(Y116,'впр данные'!A:C,3,1)</f>
        <v>Операцоинный директор</v>
      </c>
    </row>
    <row r="117" spans="1:30" hidden="1" x14ac:dyDescent="0.3">
      <c r="A117">
        <v>300</v>
      </c>
      <c r="B117" t="s">
        <v>27</v>
      </c>
      <c r="E117" t="s">
        <v>431</v>
      </c>
      <c r="F117" t="s">
        <v>431</v>
      </c>
      <c r="G117" t="s">
        <v>30</v>
      </c>
      <c r="H117" t="s">
        <v>432</v>
      </c>
      <c r="I117" t="s">
        <v>64</v>
      </c>
      <c r="J117" t="s">
        <v>65</v>
      </c>
      <c r="L117" t="s">
        <v>34</v>
      </c>
      <c r="M117" t="s">
        <v>35</v>
      </c>
      <c r="N117" t="s">
        <v>36</v>
      </c>
      <c r="P117" t="s">
        <v>433</v>
      </c>
      <c r="S117" t="s">
        <v>30</v>
      </c>
      <c r="V117" t="s">
        <v>36</v>
      </c>
      <c r="W117" t="s">
        <v>36</v>
      </c>
      <c r="AA117" t="s">
        <v>434</v>
      </c>
      <c r="AB117" s="16" t="s">
        <v>898</v>
      </c>
      <c r="AC117" t="e">
        <f>VLOOKUP(Y117,'впр данные'!A:B,2,1)</f>
        <v>#N/A</v>
      </c>
      <c r="AD117" t="e">
        <f>VLOOKUP(Y117,'впр данные'!A:C,3,1)</f>
        <v>#N/A</v>
      </c>
    </row>
    <row r="118" spans="1:30" hidden="1" x14ac:dyDescent="0.3">
      <c r="A118">
        <v>299</v>
      </c>
      <c r="B118" t="s">
        <v>27</v>
      </c>
      <c r="E118" t="s">
        <v>431</v>
      </c>
      <c r="F118" t="s">
        <v>431</v>
      </c>
      <c r="G118" t="s">
        <v>30</v>
      </c>
      <c r="H118" t="s">
        <v>435</v>
      </c>
      <c r="I118" t="s">
        <v>64</v>
      </c>
      <c r="J118" t="s">
        <v>65</v>
      </c>
      <c r="L118" t="s">
        <v>34</v>
      </c>
      <c r="M118" t="s">
        <v>35</v>
      </c>
      <c r="N118" t="s">
        <v>36</v>
      </c>
      <c r="P118" t="s">
        <v>436</v>
      </c>
      <c r="S118" t="s">
        <v>30</v>
      </c>
      <c r="V118" t="s">
        <v>36</v>
      </c>
      <c r="W118" t="s">
        <v>36</v>
      </c>
      <c r="AA118" t="s">
        <v>437</v>
      </c>
      <c r="AB118" s="16" t="s">
        <v>898</v>
      </c>
      <c r="AC118" t="e">
        <f>VLOOKUP(Y118,'впр данные'!A:B,2,1)</f>
        <v>#N/A</v>
      </c>
      <c r="AD118" t="e">
        <f>VLOOKUP(Y118,'впр данные'!A:C,3,1)</f>
        <v>#N/A</v>
      </c>
    </row>
    <row r="119" spans="1:30" hidden="1" x14ac:dyDescent="0.3">
      <c r="A119">
        <v>298</v>
      </c>
      <c r="B119" t="s">
        <v>27</v>
      </c>
      <c r="E119" t="s">
        <v>431</v>
      </c>
      <c r="F119" t="s">
        <v>431</v>
      </c>
      <c r="G119" t="s">
        <v>30</v>
      </c>
      <c r="H119" t="s">
        <v>438</v>
      </c>
      <c r="I119" t="s">
        <v>64</v>
      </c>
      <c r="J119" t="s">
        <v>65</v>
      </c>
      <c r="L119" t="s">
        <v>34</v>
      </c>
      <c r="M119" t="s">
        <v>35</v>
      </c>
      <c r="N119" t="s">
        <v>36</v>
      </c>
      <c r="P119" t="s">
        <v>439</v>
      </c>
      <c r="S119" t="s">
        <v>30</v>
      </c>
      <c r="V119" t="s">
        <v>36</v>
      </c>
      <c r="W119" t="s">
        <v>36</v>
      </c>
      <c r="AA119" t="s">
        <v>440</v>
      </c>
      <c r="AB119" s="16" t="s">
        <v>898</v>
      </c>
      <c r="AC119" t="e">
        <f>VLOOKUP(Y119,'впр данные'!A:B,2,1)</f>
        <v>#N/A</v>
      </c>
      <c r="AD119" t="e">
        <f>VLOOKUP(Y119,'впр данные'!A:C,3,1)</f>
        <v>#N/A</v>
      </c>
    </row>
    <row r="120" spans="1:30" hidden="1" x14ac:dyDescent="0.3">
      <c r="A120">
        <v>297</v>
      </c>
      <c r="B120" t="s">
        <v>27</v>
      </c>
      <c r="E120" t="s">
        <v>431</v>
      </c>
      <c r="F120" t="s">
        <v>431</v>
      </c>
      <c r="G120" t="s">
        <v>30</v>
      </c>
      <c r="H120" t="s">
        <v>441</v>
      </c>
      <c r="I120" t="s">
        <v>64</v>
      </c>
      <c r="J120" t="s">
        <v>65</v>
      </c>
      <c r="L120" t="s">
        <v>34</v>
      </c>
      <c r="M120" t="s">
        <v>35</v>
      </c>
      <c r="N120" t="s">
        <v>36</v>
      </c>
      <c r="P120" t="s">
        <v>442</v>
      </c>
      <c r="S120" t="s">
        <v>30</v>
      </c>
      <c r="V120" t="s">
        <v>36</v>
      </c>
      <c r="W120" t="s">
        <v>36</v>
      </c>
      <c r="AA120" t="s">
        <v>443</v>
      </c>
      <c r="AB120" s="16" t="s">
        <v>898</v>
      </c>
      <c r="AC120" t="e">
        <f>VLOOKUP(Y120,'впр данные'!A:B,2,1)</f>
        <v>#N/A</v>
      </c>
      <c r="AD120" t="e">
        <f>VLOOKUP(Y120,'впр данные'!A:C,3,1)</f>
        <v>#N/A</v>
      </c>
    </row>
    <row r="121" spans="1:30" hidden="1" x14ac:dyDescent="0.3">
      <c r="A121">
        <v>296</v>
      </c>
      <c r="B121" t="s">
        <v>27</v>
      </c>
      <c r="E121" t="s">
        <v>431</v>
      </c>
      <c r="F121" t="s">
        <v>431</v>
      </c>
      <c r="G121" t="s">
        <v>30</v>
      </c>
      <c r="H121" t="s">
        <v>444</v>
      </c>
      <c r="I121" t="s">
        <v>64</v>
      </c>
      <c r="J121" t="s">
        <v>65</v>
      </c>
      <c r="L121" t="s">
        <v>34</v>
      </c>
      <c r="M121" t="s">
        <v>35</v>
      </c>
      <c r="N121" t="s">
        <v>36</v>
      </c>
      <c r="P121" t="s">
        <v>445</v>
      </c>
      <c r="S121" t="s">
        <v>30</v>
      </c>
      <c r="V121" t="s">
        <v>36</v>
      </c>
      <c r="W121" t="s">
        <v>36</v>
      </c>
      <c r="AA121" t="s">
        <v>446</v>
      </c>
      <c r="AB121" s="16" t="s">
        <v>898</v>
      </c>
      <c r="AC121" t="e">
        <f>VLOOKUP(Y121,'впр данные'!A:B,2,1)</f>
        <v>#N/A</v>
      </c>
      <c r="AD121" t="e">
        <f>VLOOKUP(Y121,'впр данные'!A:C,3,1)</f>
        <v>#N/A</v>
      </c>
    </row>
    <row r="122" spans="1:30" hidden="1" x14ac:dyDescent="0.3">
      <c r="A122">
        <v>295</v>
      </c>
      <c r="B122" t="s">
        <v>27</v>
      </c>
      <c r="E122" t="s">
        <v>431</v>
      </c>
      <c r="F122" t="s">
        <v>431</v>
      </c>
      <c r="G122" t="s">
        <v>30</v>
      </c>
      <c r="H122" t="s">
        <v>447</v>
      </c>
      <c r="I122" t="s">
        <v>64</v>
      </c>
      <c r="J122" t="s">
        <v>65</v>
      </c>
      <c r="L122" t="s">
        <v>34</v>
      </c>
      <c r="M122" t="s">
        <v>35</v>
      </c>
      <c r="N122" t="s">
        <v>36</v>
      </c>
      <c r="P122" t="s">
        <v>448</v>
      </c>
      <c r="S122" t="s">
        <v>30</v>
      </c>
      <c r="V122" t="s">
        <v>36</v>
      </c>
      <c r="W122" t="s">
        <v>36</v>
      </c>
      <c r="AA122" t="s">
        <v>449</v>
      </c>
      <c r="AB122" s="16" t="s">
        <v>898</v>
      </c>
      <c r="AC122" t="e">
        <f>VLOOKUP(Y122,'впр данные'!A:B,2,1)</f>
        <v>#N/A</v>
      </c>
      <c r="AD122" t="e">
        <f>VLOOKUP(Y122,'впр данные'!A:C,3,1)</f>
        <v>#N/A</v>
      </c>
    </row>
    <row r="123" spans="1:30" hidden="1" x14ac:dyDescent="0.3">
      <c r="A123">
        <v>294</v>
      </c>
      <c r="B123" t="s">
        <v>27</v>
      </c>
      <c r="E123" t="s">
        <v>431</v>
      </c>
      <c r="F123" t="s">
        <v>431</v>
      </c>
      <c r="G123" t="s">
        <v>30</v>
      </c>
      <c r="H123" t="s">
        <v>450</v>
      </c>
      <c r="I123" t="s">
        <v>64</v>
      </c>
      <c r="J123" t="s">
        <v>65</v>
      </c>
      <c r="L123" t="s">
        <v>34</v>
      </c>
      <c r="M123" t="s">
        <v>35</v>
      </c>
      <c r="N123" t="s">
        <v>36</v>
      </c>
      <c r="P123" t="s">
        <v>451</v>
      </c>
      <c r="S123" t="s">
        <v>30</v>
      </c>
      <c r="V123" t="s">
        <v>36</v>
      </c>
      <c r="W123" t="s">
        <v>36</v>
      </c>
      <c r="AA123" t="s">
        <v>452</v>
      </c>
      <c r="AB123" s="16" t="s">
        <v>898</v>
      </c>
      <c r="AC123" t="e">
        <f>VLOOKUP(Y123,'впр данные'!A:B,2,1)</f>
        <v>#N/A</v>
      </c>
      <c r="AD123" t="e">
        <f>VLOOKUP(Y123,'впр данные'!A:C,3,1)</f>
        <v>#N/A</v>
      </c>
    </row>
    <row r="124" spans="1:30" hidden="1" x14ac:dyDescent="0.3">
      <c r="A124">
        <v>293</v>
      </c>
      <c r="B124" t="s">
        <v>27</v>
      </c>
      <c r="E124" t="s">
        <v>431</v>
      </c>
      <c r="F124" t="s">
        <v>431</v>
      </c>
      <c r="G124" t="s">
        <v>30</v>
      </c>
      <c r="H124" t="s">
        <v>453</v>
      </c>
      <c r="I124" t="s">
        <v>64</v>
      </c>
      <c r="J124" t="s">
        <v>65</v>
      </c>
      <c r="L124" t="s">
        <v>34</v>
      </c>
      <c r="M124" t="s">
        <v>35</v>
      </c>
      <c r="N124" t="s">
        <v>36</v>
      </c>
      <c r="P124" t="s">
        <v>454</v>
      </c>
      <c r="S124" t="s">
        <v>30</v>
      </c>
      <c r="V124" t="s">
        <v>36</v>
      </c>
      <c r="W124" t="s">
        <v>36</v>
      </c>
      <c r="AA124" t="s">
        <v>455</v>
      </c>
      <c r="AB124" s="16" t="s">
        <v>898</v>
      </c>
      <c r="AC124" t="e">
        <f>VLOOKUP(Y124,'впр данные'!A:B,2,1)</f>
        <v>#N/A</v>
      </c>
      <c r="AD124" t="e">
        <f>VLOOKUP(Y124,'впр данные'!A:C,3,1)</f>
        <v>#N/A</v>
      </c>
    </row>
    <row r="125" spans="1:30" hidden="1" x14ac:dyDescent="0.3">
      <c r="A125">
        <v>292</v>
      </c>
      <c r="B125" t="s">
        <v>27</v>
      </c>
      <c r="E125" t="s">
        <v>431</v>
      </c>
      <c r="F125" t="s">
        <v>431</v>
      </c>
      <c r="G125" t="s">
        <v>30</v>
      </c>
      <c r="H125" t="s">
        <v>456</v>
      </c>
      <c r="I125" t="s">
        <v>64</v>
      </c>
      <c r="J125" t="s">
        <v>65</v>
      </c>
      <c r="L125" t="s">
        <v>34</v>
      </c>
      <c r="M125" t="s">
        <v>35</v>
      </c>
      <c r="N125" t="s">
        <v>36</v>
      </c>
      <c r="P125" t="s">
        <v>457</v>
      </c>
      <c r="S125" t="s">
        <v>30</v>
      </c>
      <c r="V125" t="s">
        <v>36</v>
      </c>
      <c r="W125" t="s">
        <v>36</v>
      </c>
      <c r="AA125" t="s">
        <v>458</v>
      </c>
      <c r="AB125" s="16" t="s">
        <v>898</v>
      </c>
      <c r="AC125" t="e">
        <f>VLOOKUP(Y125,'впр данные'!A:B,2,1)</f>
        <v>#N/A</v>
      </c>
      <c r="AD125" t="e">
        <f>VLOOKUP(Y125,'впр данные'!A:C,3,1)</f>
        <v>#N/A</v>
      </c>
    </row>
    <row r="126" spans="1:30" hidden="1" x14ac:dyDescent="0.3">
      <c r="A126">
        <v>291</v>
      </c>
      <c r="B126" t="s">
        <v>27</v>
      </c>
      <c r="E126" t="s">
        <v>431</v>
      </c>
      <c r="F126" t="s">
        <v>431</v>
      </c>
      <c r="G126" t="s">
        <v>30</v>
      </c>
      <c r="H126" t="s">
        <v>459</v>
      </c>
      <c r="I126" t="s">
        <v>64</v>
      </c>
      <c r="J126" t="s">
        <v>65</v>
      </c>
      <c r="L126" t="s">
        <v>34</v>
      </c>
      <c r="M126" t="s">
        <v>35</v>
      </c>
      <c r="N126" t="s">
        <v>36</v>
      </c>
      <c r="P126" t="s">
        <v>460</v>
      </c>
      <c r="S126" t="s">
        <v>30</v>
      </c>
      <c r="V126" t="s">
        <v>36</v>
      </c>
      <c r="W126" t="s">
        <v>36</v>
      </c>
      <c r="AA126" t="s">
        <v>461</v>
      </c>
      <c r="AB126" s="16" t="s">
        <v>898</v>
      </c>
      <c r="AC126" t="e">
        <f>VLOOKUP(Y126,'впр данные'!A:B,2,1)</f>
        <v>#N/A</v>
      </c>
      <c r="AD126" t="e">
        <f>VLOOKUP(Y126,'впр данные'!A:C,3,1)</f>
        <v>#N/A</v>
      </c>
    </row>
    <row r="127" spans="1:30" hidden="1" x14ac:dyDescent="0.3">
      <c r="A127">
        <v>290</v>
      </c>
      <c r="B127" t="s">
        <v>27</v>
      </c>
      <c r="C127" t="s">
        <v>28</v>
      </c>
      <c r="D127" t="s">
        <v>29</v>
      </c>
      <c r="G127" t="s">
        <v>30</v>
      </c>
      <c r="H127" t="s">
        <v>431</v>
      </c>
      <c r="I127" t="s">
        <v>64</v>
      </c>
      <c r="J127" t="s">
        <v>65</v>
      </c>
      <c r="L127" t="s">
        <v>34</v>
      </c>
      <c r="M127" t="s">
        <v>35</v>
      </c>
      <c r="N127" t="s">
        <v>36</v>
      </c>
      <c r="P127" t="s">
        <v>462</v>
      </c>
      <c r="S127" t="s">
        <v>30</v>
      </c>
      <c r="V127" t="s">
        <v>36</v>
      </c>
      <c r="W127" t="s">
        <v>36</v>
      </c>
      <c r="Y127" t="s">
        <v>399</v>
      </c>
      <c r="AA127" t="s">
        <v>463</v>
      </c>
      <c r="AB127" s="16" t="s">
        <v>898</v>
      </c>
      <c r="AC127" t="str">
        <f>VLOOKUP(Y127,'впр данные'!A:B,2,1)</f>
        <v>продюсер, страт-п-с-26-09</v>
      </c>
      <c r="AD127" t="str">
        <f>VLOOKUP(Y127,'впр данные'!A:C,3,1)</f>
        <v>продюсер</v>
      </c>
    </row>
    <row r="128" spans="1:30" hidden="1" x14ac:dyDescent="0.3">
      <c r="A128">
        <v>211</v>
      </c>
      <c r="B128" t="s">
        <v>27</v>
      </c>
      <c r="C128" t="s">
        <v>28</v>
      </c>
      <c r="D128" t="s">
        <v>29</v>
      </c>
      <c r="G128" t="s">
        <v>30</v>
      </c>
      <c r="H128" t="s">
        <v>464</v>
      </c>
      <c r="I128" t="s">
        <v>265</v>
      </c>
      <c r="J128" t="s">
        <v>266</v>
      </c>
      <c r="L128" t="s">
        <v>34</v>
      </c>
      <c r="M128" t="s">
        <v>35</v>
      </c>
      <c r="N128" t="s">
        <v>36</v>
      </c>
      <c r="P128" t="s">
        <v>465</v>
      </c>
      <c r="S128" t="s">
        <v>30</v>
      </c>
      <c r="V128" t="s">
        <v>36</v>
      </c>
      <c r="W128" t="s">
        <v>36</v>
      </c>
      <c r="Y128" t="s">
        <v>44</v>
      </c>
      <c r="AA128" t="s">
        <v>466</v>
      </c>
      <c r="AB128" s="16" t="s">
        <v>898</v>
      </c>
      <c r="AC128" t="str">
        <f>VLOOKUP(Y128,'впр данные'!A:B,2,1)</f>
        <v>лидген, страт-п-с-26-09</v>
      </c>
      <c r="AD128" t="str">
        <f>VLOOKUP(Y128,'впр данные'!A:C,3,1)</f>
        <v>лидген</v>
      </c>
    </row>
    <row r="129" spans="1:30" hidden="1" x14ac:dyDescent="0.3">
      <c r="A129">
        <v>210</v>
      </c>
      <c r="B129" t="s">
        <v>27</v>
      </c>
      <c r="C129" t="s">
        <v>28</v>
      </c>
      <c r="D129" t="s">
        <v>29</v>
      </c>
      <c r="G129" t="s">
        <v>30</v>
      </c>
      <c r="H129" t="s">
        <v>50</v>
      </c>
      <c r="I129" t="s">
        <v>41</v>
      </c>
      <c r="J129" t="s">
        <v>42</v>
      </c>
      <c r="L129" t="s">
        <v>34</v>
      </c>
      <c r="M129" t="s">
        <v>35</v>
      </c>
      <c r="N129" t="s">
        <v>36</v>
      </c>
      <c r="P129" t="s">
        <v>467</v>
      </c>
      <c r="S129" t="s">
        <v>30</v>
      </c>
      <c r="V129" t="s">
        <v>36</v>
      </c>
      <c r="W129" t="s">
        <v>36</v>
      </c>
      <c r="Y129" t="s">
        <v>44</v>
      </c>
      <c r="AA129" t="s">
        <v>468</v>
      </c>
      <c r="AB129" s="16" t="s">
        <v>898</v>
      </c>
      <c r="AC129" t="str">
        <f>VLOOKUP(Y129,'впр данные'!A:B,2,1)</f>
        <v>лидген, страт-п-с-26-09</v>
      </c>
      <c r="AD129" t="str">
        <f>VLOOKUP(Y129,'впр данные'!A:C,3,1)</f>
        <v>лидген</v>
      </c>
    </row>
    <row r="130" spans="1:30" hidden="1" x14ac:dyDescent="0.3">
      <c r="A130">
        <v>209</v>
      </c>
      <c r="B130" t="s">
        <v>27</v>
      </c>
      <c r="C130" t="s">
        <v>28</v>
      </c>
      <c r="D130" t="s">
        <v>29</v>
      </c>
      <c r="G130" t="s">
        <v>30</v>
      </c>
      <c r="H130" t="s">
        <v>469</v>
      </c>
      <c r="I130" t="s">
        <v>41</v>
      </c>
      <c r="J130" t="s">
        <v>42</v>
      </c>
      <c r="L130" t="s">
        <v>34</v>
      </c>
      <c r="M130" t="s">
        <v>35</v>
      </c>
      <c r="N130" t="s">
        <v>36</v>
      </c>
      <c r="P130" t="s">
        <v>470</v>
      </c>
      <c r="S130" t="s">
        <v>30</v>
      </c>
      <c r="V130" t="s">
        <v>36</v>
      </c>
      <c r="W130" t="s">
        <v>36</v>
      </c>
      <c r="Y130" t="s">
        <v>44</v>
      </c>
      <c r="AA130" t="s">
        <v>471</v>
      </c>
      <c r="AB130" s="16" t="s">
        <v>898</v>
      </c>
      <c r="AC130" t="str">
        <f>VLOOKUP(Y130,'впр данные'!A:B,2,1)</f>
        <v>лидген, страт-п-с-26-09</v>
      </c>
      <c r="AD130" t="str">
        <f>VLOOKUP(Y130,'впр данные'!A:C,3,1)</f>
        <v>лидген</v>
      </c>
    </row>
    <row r="131" spans="1:30" hidden="1" x14ac:dyDescent="0.3">
      <c r="A131">
        <v>207</v>
      </c>
      <c r="B131" t="s">
        <v>27</v>
      </c>
      <c r="C131" t="s">
        <v>28</v>
      </c>
      <c r="D131" t="s">
        <v>29</v>
      </c>
      <c r="G131" t="s">
        <v>30</v>
      </c>
      <c r="H131" t="s">
        <v>46</v>
      </c>
      <c r="I131" t="s">
        <v>248</v>
      </c>
      <c r="J131" t="s">
        <v>249</v>
      </c>
      <c r="L131" t="s">
        <v>34</v>
      </c>
      <c r="M131" t="s">
        <v>35</v>
      </c>
      <c r="N131" t="s">
        <v>36</v>
      </c>
      <c r="P131" t="s">
        <v>472</v>
      </c>
      <c r="S131" t="s">
        <v>30</v>
      </c>
      <c r="V131" t="s">
        <v>36</v>
      </c>
      <c r="W131" t="s">
        <v>36</v>
      </c>
      <c r="Y131" t="s">
        <v>44</v>
      </c>
      <c r="AA131" t="s">
        <v>473</v>
      </c>
      <c r="AB131" s="16" t="s">
        <v>898</v>
      </c>
      <c r="AC131" t="str">
        <f>VLOOKUP(Y131,'впр данные'!A:B,2,1)</f>
        <v>лидген, страт-п-с-26-09</v>
      </c>
      <c r="AD131" t="str">
        <f>VLOOKUP(Y131,'впр данные'!A:C,3,1)</f>
        <v>лидген</v>
      </c>
    </row>
    <row r="132" spans="1:30" hidden="1" x14ac:dyDescent="0.3">
      <c r="A132">
        <v>205</v>
      </c>
      <c r="B132" t="s">
        <v>27</v>
      </c>
      <c r="C132" t="s">
        <v>28</v>
      </c>
      <c r="D132" t="s">
        <v>29</v>
      </c>
      <c r="G132" t="s">
        <v>30</v>
      </c>
      <c r="H132" t="s">
        <v>474</v>
      </c>
      <c r="I132" t="s">
        <v>243</v>
      </c>
      <c r="J132" t="s">
        <v>244</v>
      </c>
      <c r="L132" t="s">
        <v>34</v>
      </c>
      <c r="M132" t="s">
        <v>35</v>
      </c>
      <c r="N132" t="s">
        <v>36</v>
      </c>
      <c r="P132" t="s">
        <v>475</v>
      </c>
      <c r="S132" t="s">
        <v>30</v>
      </c>
      <c r="V132" t="s">
        <v>36</v>
      </c>
      <c r="W132" t="s">
        <v>36</v>
      </c>
      <c r="Y132" t="s">
        <v>44</v>
      </c>
      <c r="AA132" t="s">
        <v>476</v>
      </c>
      <c r="AB132" s="16" t="s">
        <v>898</v>
      </c>
      <c r="AC132" t="str">
        <f>VLOOKUP(Y132,'впр данные'!A:B,2,1)</f>
        <v>лидген, страт-п-с-26-09</v>
      </c>
      <c r="AD132" t="str">
        <f>VLOOKUP(Y132,'впр данные'!A:C,3,1)</f>
        <v>лидген</v>
      </c>
    </row>
    <row r="133" spans="1:30" hidden="1" x14ac:dyDescent="0.3">
      <c r="A133">
        <v>204</v>
      </c>
      <c r="B133" t="s">
        <v>27</v>
      </c>
      <c r="C133" t="s">
        <v>28</v>
      </c>
      <c r="D133" t="s">
        <v>29</v>
      </c>
      <c r="G133" t="s">
        <v>30</v>
      </c>
      <c r="H133" t="s">
        <v>477</v>
      </c>
      <c r="I133" t="s">
        <v>234</v>
      </c>
      <c r="J133" t="s">
        <v>235</v>
      </c>
      <c r="L133" t="s">
        <v>34</v>
      </c>
      <c r="M133" t="s">
        <v>35</v>
      </c>
      <c r="N133" t="s">
        <v>36</v>
      </c>
      <c r="P133" t="s">
        <v>478</v>
      </c>
      <c r="S133" t="s">
        <v>30</v>
      </c>
      <c r="V133" t="s">
        <v>36</v>
      </c>
      <c r="W133" t="s">
        <v>36</v>
      </c>
      <c r="Y133" t="s">
        <v>44</v>
      </c>
      <c r="AA133" t="s">
        <v>479</v>
      </c>
      <c r="AB133" s="16" t="s">
        <v>898</v>
      </c>
      <c r="AC133" t="str">
        <f>VLOOKUP(Y133,'впр данные'!A:B,2,1)</f>
        <v>лидген, страт-п-с-26-09</v>
      </c>
      <c r="AD133" t="str">
        <f>VLOOKUP(Y133,'впр данные'!A:C,3,1)</f>
        <v>лидген</v>
      </c>
    </row>
    <row r="134" spans="1:30" hidden="1" x14ac:dyDescent="0.3">
      <c r="A134">
        <v>203</v>
      </c>
      <c r="B134" t="s">
        <v>27</v>
      </c>
      <c r="C134" t="s">
        <v>28</v>
      </c>
      <c r="D134" t="s">
        <v>29</v>
      </c>
      <c r="G134" t="s">
        <v>30</v>
      </c>
      <c r="H134" t="s">
        <v>480</v>
      </c>
      <c r="I134" t="s">
        <v>234</v>
      </c>
      <c r="J134" t="s">
        <v>235</v>
      </c>
      <c r="L134" t="s">
        <v>34</v>
      </c>
      <c r="M134" t="s">
        <v>35</v>
      </c>
      <c r="N134" t="s">
        <v>36</v>
      </c>
      <c r="P134" t="s">
        <v>481</v>
      </c>
      <c r="S134" t="s">
        <v>30</v>
      </c>
      <c r="V134" t="s">
        <v>36</v>
      </c>
      <c r="W134" t="s">
        <v>36</v>
      </c>
      <c r="Y134" t="s">
        <v>44</v>
      </c>
      <c r="AA134" t="s">
        <v>482</v>
      </c>
      <c r="AB134" s="16" t="s">
        <v>898</v>
      </c>
      <c r="AC134" t="str">
        <f>VLOOKUP(Y134,'впр данные'!A:B,2,1)</f>
        <v>лидген, страт-п-с-26-09</v>
      </c>
      <c r="AD134" t="str">
        <f>VLOOKUP(Y134,'впр данные'!A:C,3,1)</f>
        <v>лидген</v>
      </c>
    </row>
    <row r="135" spans="1:30" hidden="1" x14ac:dyDescent="0.3">
      <c r="A135">
        <v>202</v>
      </c>
      <c r="B135" t="s">
        <v>27</v>
      </c>
      <c r="C135" t="s">
        <v>28</v>
      </c>
      <c r="D135" t="s">
        <v>29</v>
      </c>
      <c r="G135" t="s">
        <v>30</v>
      </c>
      <c r="H135" t="s">
        <v>483</v>
      </c>
      <c r="I135" t="s">
        <v>226</v>
      </c>
      <c r="J135" t="s">
        <v>227</v>
      </c>
      <c r="L135" t="s">
        <v>34</v>
      </c>
      <c r="M135" t="s">
        <v>35</v>
      </c>
      <c r="N135" t="s">
        <v>36</v>
      </c>
      <c r="P135" t="s">
        <v>484</v>
      </c>
      <c r="S135" t="s">
        <v>30</v>
      </c>
      <c r="V135" t="s">
        <v>36</v>
      </c>
      <c r="W135" t="s">
        <v>36</v>
      </c>
      <c r="Y135" t="s">
        <v>485</v>
      </c>
      <c r="AA135" t="s">
        <v>486</v>
      </c>
      <c r="AB135" s="16" t="s">
        <v>898</v>
      </c>
      <c r="AC135" t="str">
        <f>VLOOKUP(Y135,'впр данные'!A:B,2,1)</f>
        <v>лидген, страт-п-с-26-09</v>
      </c>
      <c r="AD135" t="str">
        <f>VLOOKUP(Y135,'впр данные'!A:C,3,1)</f>
        <v>лидген</v>
      </c>
    </row>
    <row r="136" spans="1:30" hidden="1" x14ac:dyDescent="0.3">
      <c r="A136">
        <v>201</v>
      </c>
      <c r="B136" t="s">
        <v>27</v>
      </c>
      <c r="C136" t="s">
        <v>28</v>
      </c>
      <c r="D136" t="s">
        <v>29</v>
      </c>
      <c r="G136" t="s">
        <v>30</v>
      </c>
      <c r="H136" t="s">
        <v>487</v>
      </c>
      <c r="I136" t="s">
        <v>218</v>
      </c>
      <c r="J136" t="s">
        <v>219</v>
      </c>
      <c r="L136" t="s">
        <v>34</v>
      </c>
      <c r="M136" t="s">
        <v>35</v>
      </c>
      <c r="N136" t="s">
        <v>36</v>
      </c>
      <c r="P136" t="s">
        <v>488</v>
      </c>
      <c r="S136" t="s">
        <v>30</v>
      </c>
      <c r="V136" t="s">
        <v>36</v>
      </c>
      <c r="W136" t="s">
        <v>36</v>
      </c>
      <c r="Y136" t="s">
        <v>485</v>
      </c>
      <c r="AA136" t="s">
        <v>489</v>
      </c>
      <c r="AB136" s="16" t="s">
        <v>898</v>
      </c>
      <c r="AC136" t="str">
        <f>VLOOKUP(Y136,'впр данные'!A:B,2,1)</f>
        <v>лидген, страт-п-с-26-09</v>
      </c>
      <c r="AD136" t="str">
        <f>VLOOKUP(Y136,'впр данные'!A:C,3,1)</f>
        <v>лидген</v>
      </c>
    </row>
    <row r="137" spans="1:30" hidden="1" x14ac:dyDescent="0.3">
      <c r="A137">
        <v>200</v>
      </c>
      <c r="B137" t="s">
        <v>27</v>
      </c>
      <c r="C137" t="s">
        <v>28</v>
      </c>
      <c r="D137" t="s">
        <v>29</v>
      </c>
      <c r="G137" t="s">
        <v>30</v>
      </c>
      <c r="H137" t="s">
        <v>490</v>
      </c>
      <c r="I137" t="s">
        <v>210</v>
      </c>
      <c r="J137" t="s">
        <v>211</v>
      </c>
      <c r="L137" t="s">
        <v>34</v>
      </c>
      <c r="M137" t="s">
        <v>35</v>
      </c>
      <c r="N137" t="s">
        <v>36</v>
      </c>
      <c r="P137" t="s">
        <v>491</v>
      </c>
      <c r="S137" t="s">
        <v>30</v>
      </c>
      <c r="V137" t="s">
        <v>36</v>
      </c>
      <c r="W137" t="s">
        <v>36</v>
      </c>
      <c r="Y137" t="s">
        <v>485</v>
      </c>
      <c r="AA137" t="s">
        <v>492</v>
      </c>
      <c r="AB137" s="16" t="s">
        <v>898</v>
      </c>
      <c r="AC137" t="str">
        <f>VLOOKUP(Y137,'впр данные'!A:B,2,1)</f>
        <v>лидген, страт-п-с-26-09</v>
      </c>
      <c r="AD137" t="str">
        <f>VLOOKUP(Y137,'впр данные'!A:C,3,1)</f>
        <v>лидген</v>
      </c>
    </row>
    <row r="138" spans="1:30" hidden="1" x14ac:dyDescent="0.3">
      <c r="A138">
        <v>199</v>
      </c>
      <c r="B138" t="s">
        <v>27</v>
      </c>
      <c r="C138" t="s">
        <v>28</v>
      </c>
      <c r="D138" t="s">
        <v>29</v>
      </c>
      <c r="G138" t="s">
        <v>30</v>
      </c>
      <c r="H138" t="s">
        <v>493</v>
      </c>
      <c r="I138" t="s">
        <v>199</v>
      </c>
      <c r="J138" t="s">
        <v>200</v>
      </c>
      <c r="L138" t="s">
        <v>34</v>
      </c>
      <c r="M138" t="s">
        <v>35</v>
      </c>
      <c r="N138" t="s">
        <v>36</v>
      </c>
      <c r="P138" t="s">
        <v>494</v>
      </c>
      <c r="S138" t="s">
        <v>30</v>
      </c>
      <c r="V138" t="s">
        <v>36</v>
      </c>
      <c r="W138" t="s">
        <v>36</v>
      </c>
      <c r="Y138" t="s">
        <v>485</v>
      </c>
      <c r="AA138" t="s">
        <v>495</v>
      </c>
      <c r="AB138" s="16" t="s">
        <v>898</v>
      </c>
      <c r="AC138" t="str">
        <f>VLOOKUP(Y138,'впр данные'!A:B,2,1)</f>
        <v>лидген, страт-п-с-26-09</v>
      </c>
      <c r="AD138" t="str">
        <f>VLOOKUP(Y138,'впр данные'!A:C,3,1)</f>
        <v>лидген</v>
      </c>
    </row>
    <row r="139" spans="1:30" x14ac:dyDescent="0.3">
      <c r="A139">
        <v>198</v>
      </c>
      <c r="B139" t="s">
        <v>27</v>
      </c>
      <c r="C139" t="s">
        <v>28</v>
      </c>
      <c r="D139" t="s">
        <v>29</v>
      </c>
      <c r="G139" t="s">
        <v>30</v>
      </c>
      <c r="H139" t="s">
        <v>496</v>
      </c>
      <c r="I139" t="s">
        <v>185</v>
      </c>
      <c r="J139" t="s">
        <v>186</v>
      </c>
      <c r="L139" t="s">
        <v>34</v>
      </c>
      <c r="M139" t="s">
        <v>35</v>
      </c>
      <c r="N139" t="s">
        <v>36</v>
      </c>
      <c r="P139" t="s">
        <v>497</v>
      </c>
      <c r="Q139">
        <v>1</v>
      </c>
      <c r="S139" t="s">
        <v>30</v>
      </c>
      <c r="V139" t="s">
        <v>36</v>
      </c>
      <c r="W139" t="s">
        <v>36</v>
      </c>
      <c r="Y139" t="s">
        <v>485</v>
      </c>
      <c r="AA139" t="s">
        <v>498</v>
      </c>
      <c r="AB139" s="16" t="s">
        <v>898</v>
      </c>
      <c r="AC139" t="str">
        <f>VLOOKUP(Y139,'впр данные'!A:B,2,1)</f>
        <v>лидген, страт-п-с-26-09</v>
      </c>
      <c r="AD139" t="str">
        <f>VLOOKUP(Y139,'впр данные'!A:C,3,1)</f>
        <v>лидген</v>
      </c>
    </row>
    <row r="140" spans="1:30" hidden="1" x14ac:dyDescent="0.3">
      <c r="A140">
        <v>197</v>
      </c>
      <c r="B140" t="s">
        <v>27</v>
      </c>
      <c r="C140" t="s">
        <v>28</v>
      </c>
      <c r="D140" t="s">
        <v>29</v>
      </c>
      <c r="G140" t="s">
        <v>30</v>
      </c>
      <c r="H140" t="s">
        <v>499</v>
      </c>
      <c r="I140" t="s">
        <v>164</v>
      </c>
      <c r="J140" t="s">
        <v>340</v>
      </c>
      <c r="L140" t="s">
        <v>34</v>
      </c>
      <c r="M140" t="s">
        <v>35</v>
      </c>
      <c r="N140" t="s">
        <v>36</v>
      </c>
      <c r="P140" t="s">
        <v>500</v>
      </c>
      <c r="S140" t="s">
        <v>30</v>
      </c>
      <c r="V140" t="s">
        <v>36</v>
      </c>
      <c r="W140" t="s">
        <v>36</v>
      </c>
      <c r="Y140" t="s">
        <v>485</v>
      </c>
      <c r="AA140" t="s">
        <v>501</v>
      </c>
      <c r="AB140" s="16" t="s">
        <v>898</v>
      </c>
      <c r="AC140" t="str">
        <f>VLOOKUP(Y140,'впр данные'!A:B,2,1)</f>
        <v>лидген, страт-п-с-26-09</v>
      </c>
      <c r="AD140" t="str">
        <f>VLOOKUP(Y140,'впр данные'!A:C,3,1)</f>
        <v>лидген</v>
      </c>
    </row>
    <row r="141" spans="1:30" hidden="1" x14ac:dyDescent="0.3">
      <c r="A141">
        <v>196</v>
      </c>
      <c r="B141" t="s">
        <v>27</v>
      </c>
      <c r="C141" t="s">
        <v>28</v>
      </c>
      <c r="D141" t="s">
        <v>29</v>
      </c>
      <c r="G141" t="s">
        <v>30</v>
      </c>
      <c r="H141" t="s">
        <v>502</v>
      </c>
      <c r="I141" t="s">
        <v>132</v>
      </c>
      <c r="J141" t="s">
        <v>133</v>
      </c>
      <c r="L141" t="s">
        <v>34</v>
      </c>
      <c r="M141" t="s">
        <v>35</v>
      </c>
      <c r="N141" t="s">
        <v>36</v>
      </c>
      <c r="P141" t="s">
        <v>503</v>
      </c>
      <c r="S141" t="s">
        <v>30</v>
      </c>
      <c r="V141" t="s">
        <v>36</v>
      </c>
      <c r="W141" t="s">
        <v>36</v>
      </c>
      <c r="Y141" t="s">
        <v>485</v>
      </c>
      <c r="AA141" t="s">
        <v>504</v>
      </c>
      <c r="AB141" s="16" t="s">
        <v>898</v>
      </c>
      <c r="AC141" t="str">
        <f>VLOOKUP(Y141,'впр данные'!A:B,2,1)</f>
        <v>лидген, страт-п-с-26-09</v>
      </c>
      <c r="AD141" t="str">
        <f>VLOOKUP(Y141,'впр данные'!A:C,3,1)</f>
        <v>лидген</v>
      </c>
    </row>
    <row r="142" spans="1:30" hidden="1" x14ac:dyDescent="0.3">
      <c r="A142">
        <v>195</v>
      </c>
      <c r="B142" t="s">
        <v>27</v>
      </c>
      <c r="C142" t="s">
        <v>28</v>
      </c>
      <c r="D142" t="s">
        <v>29</v>
      </c>
      <c r="G142" t="s">
        <v>30</v>
      </c>
      <c r="H142" t="s">
        <v>505</v>
      </c>
      <c r="I142" t="s">
        <v>93</v>
      </c>
      <c r="J142" t="s">
        <v>94</v>
      </c>
      <c r="L142" t="s">
        <v>34</v>
      </c>
      <c r="M142" t="s">
        <v>35</v>
      </c>
      <c r="N142" t="s">
        <v>36</v>
      </c>
      <c r="P142" t="s">
        <v>506</v>
      </c>
      <c r="S142" t="s">
        <v>30</v>
      </c>
      <c r="V142" t="s">
        <v>36</v>
      </c>
      <c r="W142" t="s">
        <v>36</v>
      </c>
      <c r="Y142" t="s">
        <v>485</v>
      </c>
      <c r="AA142" t="s">
        <v>507</v>
      </c>
      <c r="AB142" s="16" t="s">
        <v>898</v>
      </c>
      <c r="AC142" t="str">
        <f>VLOOKUP(Y142,'впр данные'!A:B,2,1)</f>
        <v>лидген, страт-п-с-26-09</v>
      </c>
      <c r="AD142" t="str">
        <f>VLOOKUP(Y142,'впр данные'!A:C,3,1)</f>
        <v>лидген</v>
      </c>
    </row>
    <row r="143" spans="1:30" hidden="1" x14ac:dyDescent="0.3">
      <c r="A143">
        <v>194</v>
      </c>
      <c r="B143" t="s">
        <v>27</v>
      </c>
      <c r="C143" t="s">
        <v>28</v>
      </c>
      <c r="D143" t="s">
        <v>29</v>
      </c>
      <c r="G143" t="s">
        <v>30</v>
      </c>
      <c r="H143" t="s">
        <v>508</v>
      </c>
      <c r="I143" t="s">
        <v>509</v>
      </c>
      <c r="J143" t="s">
        <v>81</v>
      </c>
      <c r="L143" t="s">
        <v>34</v>
      </c>
      <c r="M143" t="s">
        <v>35</v>
      </c>
      <c r="N143" t="s">
        <v>36</v>
      </c>
      <c r="P143" t="s">
        <v>510</v>
      </c>
      <c r="S143" t="s">
        <v>30</v>
      </c>
      <c r="V143" t="s">
        <v>36</v>
      </c>
      <c r="W143" t="s">
        <v>36</v>
      </c>
      <c r="Y143" t="s">
        <v>511</v>
      </c>
      <c r="AA143" t="s">
        <v>512</v>
      </c>
      <c r="AB143" s="16" t="s">
        <v>898</v>
      </c>
      <c r="AC143" t="str">
        <f>VLOOKUP(Y143,'впр данные'!A:B,2,1)</f>
        <v>лидген, страт-п-с-26-09</v>
      </c>
      <c r="AD143" t="str">
        <f>VLOOKUP(Y143,'впр данные'!A:C,3,1)</f>
        <v>лидген</v>
      </c>
    </row>
    <row r="144" spans="1:30" hidden="1" x14ac:dyDescent="0.3">
      <c r="A144">
        <v>193</v>
      </c>
      <c r="B144" t="s">
        <v>27</v>
      </c>
      <c r="C144" t="s">
        <v>28</v>
      </c>
      <c r="D144" t="s">
        <v>29</v>
      </c>
      <c r="G144" t="s">
        <v>30</v>
      </c>
      <c r="H144" t="s">
        <v>513</v>
      </c>
      <c r="I144" t="s">
        <v>32</v>
      </c>
      <c r="J144" t="s">
        <v>33</v>
      </c>
      <c r="L144" t="s">
        <v>34</v>
      </c>
      <c r="M144" t="s">
        <v>35</v>
      </c>
      <c r="N144" t="s">
        <v>36</v>
      </c>
      <c r="P144" t="s">
        <v>514</v>
      </c>
      <c r="S144" t="s">
        <v>30</v>
      </c>
      <c r="V144" t="s">
        <v>36</v>
      </c>
      <c r="W144" t="s">
        <v>36</v>
      </c>
      <c r="Y144" t="s">
        <v>515</v>
      </c>
      <c r="AA144" t="s">
        <v>516</v>
      </c>
      <c r="AB144" s="16" t="s">
        <v>898</v>
      </c>
      <c r="AC144" t="str">
        <f>VLOOKUP(Y144,'впр данные'!A:B,2,1)</f>
        <v>лидген, страт-п-с-26-09</v>
      </c>
      <c r="AD144" t="str">
        <f>VLOOKUP(Y144,'впр данные'!A:C,3,1)</f>
        <v>лидген</v>
      </c>
    </row>
    <row r="145" spans="1:30" hidden="1" x14ac:dyDescent="0.3">
      <c r="A145">
        <v>192</v>
      </c>
      <c r="B145" t="s">
        <v>27</v>
      </c>
      <c r="C145" t="s">
        <v>28</v>
      </c>
      <c r="D145" t="s">
        <v>29</v>
      </c>
      <c r="G145" t="s">
        <v>30</v>
      </c>
      <c r="H145" t="s">
        <v>517</v>
      </c>
      <c r="I145" t="s">
        <v>32</v>
      </c>
      <c r="J145" t="s">
        <v>33</v>
      </c>
      <c r="L145" t="s">
        <v>34</v>
      </c>
      <c r="M145" t="s">
        <v>35</v>
      </c>
      <c r="N145" t="s">
        <v>36</v>
      </c>
      <c r="P145" t="s">
        <v>518</v>
      </c>
      <c r="S145" t="s">
        <v>30</v>
      </c>
      <c r="V145" t="s">
        <v>36</v>
      </c>
      <c r="W145" t="s">
        <v>36</v>
      </c>
      <c r="Y145" t="s">
        <v>515</v>
      </c>
      <c r="AA145" t="s">
        <v>519</v>
      </c>
      <c r="AB145" s="16" t="s">
        <v>898</v>
      </c>
      <c r="AC145" t="str">
        <f>VLOOKUP(Y145,'впр данные'!A:B,2,1)</f>
        <v>лидген, страт-п-с-26-09</v>
      </c>
      <c r="AD145" t="str">
        <f>VLOOKUP(Y145,'впр данные'!A:C,3,1)</f>
        <v>лидген</v>
      </c>
    </row>
    <row r="146" spans="1:30" hidden="1" x14ac:dyDescent="0.3">
      <c r="A146">
        <v>191</v>
      </c>
      <c r="B146" t="s">
        <v>27</v>
      </c>
      <c r="C146" t="s">
        <v>28</v>
      </c>
      <c r="D146" t="s">
        <v>29</v>
      </c>
      <c r="G146" t="s">
        <v>30</v>
      </c>
      <c r="H146" t="s">
        <v>520</v>
      </c>
      <c r="I146" t="s">
        <v>32</v>
      </c>
      <c r="J146" t="s">
        <v>33</v>
      </c>
      <c r="L146" t="s">
        <v>34</v>
      </c>
      <c r="M146" t="s">
        <v>35</v>
      </c>
      <c r="N146" t="s">
        <v>36</v>
      </c>
      <c r="P146" t="s">
        <v>521</v>
      </c>
      <c r="S146" t="s">
        <v>30</v>
      </c>
      <c r="V146" t="s">
        <v>36</v>
      </c>
      <c r="W146" t="s">
        <v>36</v>
      </c>
      <c r="Y146" t="s">
        <v>515</v>
      </c>
      <c r="AA146" t="s">
        <v>522</v>
      </c>
      <c r="AB146" s="16" t="s">
        <v>898</v>
      </c>
      <c r="AC146" t="str">
        <f>VLOOKUP(Y146,'впр данные'!A:B,2,1)</f>
        <v>лидген, страт-п-с-26-09</v>
      </c>
      <c r="AD146" t="str">
        <f>VLOOKUP(Y146,'впр данные'!A:C,3,1)</f>
        <v>лидген</v>
      </c>
    </row>
    <row r="147" spans="1:30" x14ac:dyDescent="0.3">
      <c r="A147">
        <v>190</v>
      </c>
      <c r="B147" t="s">
        <v>27</v>
      </c>
      <c r="C147" t="s">
        <v>28</v>
      </c>
      <c r="D147" t="s">
        <v>29</v>
      </c>
      <c r="G147" t="s">
        <v>30</v>
      </c>
      <c r="H147" t="s">
        <v>523</v>
      </c>
      <c r="I147" t="s">
        <v>64</v>
      </c>
      <c r="J147" t="s">
        <v>65</v>
      </c>
      <c r="L147" t="s">
        <v>34</v>
      </c>
      <c r="M147" t="s">
        <v>35</v>
      </c>
      <c r="N147" t="s">
        <v>36</v>
      </c>
      <c r="P147" t="s">
        <v>524</v>
      </c>
      <c r="Q147">
        <v>20</v>
      </c>
      <c r="R147" t="s">
        <v>525</v>
      </c>
      <c r="S147" t="s">
        <v>526</v>
      </c>
      <c r="V147" t="s">
        <v>36</v>
      </c>
      <c r="W147" t="s">
        <v>36</v>
      </c>
      <c r="Y147" t="s">
        <v>527</v>
      </c>
      <c r="AA147" t="s">
        <v>528</v>
      </c>
      <c r="AB147" s="16" t="s">
        <v>898</v>
      </c>
      <c r="AC147" t="str">
        <f>VLOOKUP(Y147,'впр данные'!A:B,2,1)</f>
        <v>РГП, страт-п-с-26-09</v>
      </c>
      <c r="AD147" t="str">
        <f>VLOOKUP(Y147,'впр данные'!A:C,3,1)</f>
        <v>РГП</v>
      </c>
    </row>
    <row r="148" spans="1:30" hidden="1" x14ac:dyDescent="0.3">
      <c r="A148">
        <v>189</v>
      </c>
      <c r="B148" t="s">
        <v>27</v>
      </c>
      <c r="C148" t="s">
        <v>28</v>
      </c>
      <c r="D148" t="s">
        <v>29</v>
      </c>
      <c r="G148" t="s">
        <v>30</v>
      </c>
      <c r="H148" t="s">
        <v>529</v>
      </c>
      <c r="I148" t="s">
        <v>265</v>
      </c>
      <c r="J148" t="s">
        <v>266</v>
      </c>
      <c r="L148" t="s">
        <v>34</v>
      </c>
      <c r="M148" t="s">
        <v>35</v>
      </c>
      <c r="N148" t="s">
        <v>36</v>
      </c>
      <c r="P148" t="s">
        <v>530</v>
      </c>
      <c r="R148" t="s">
        <v>525</v>
      </c>
      <c r="S148" t="s">
        <v>526</v>
      </c>
      <c r="V148" t="s">
        <v>36</v>
      </c>
      <c r="W148" t="s">
        <v>36</v>
      </c>
      <c r="Y148" t="s">
        <v>527</v>
      </c>
      <c r="AA148" t="s">
        <v>531</v>
      </c>
      <c r="AB148" s="16" t="s">
        <v>898</v>
      </c>
      <c r="AC148" t="str">
        <f>VLOOKUP(Y148,'впр данные'!A:B,2,1)</f>
        <v>РГП, страт-п-с-26-09</v>
      </c>
      <c r="AD148" t="str">
        <f>VLOOKUP(Y148,'впр данные'!A:C,3,1)</f>
        <v>РГП</v>
      </c>
    </row>
    <row r="149" spans="1:30" hidden="1" x14ac:dyDescent="0.3">
      <c r="A149">
        <v>188</v>
      </c>
      <c r="B149" t="s">
        <v>27</v>
      </c>
      <c r="C149" t="s">
        <v>28</v>
      </c>
      <c r="D149" t="s">
        <v>29</v>
      </c>
      <c r="G149" t="s">
        <v>30</v>
      </c>
      <c r="H149" t="s">
        <v>532</v>
      </c>
      <c r="I149" t="s">
        <v>265</v>
      </c>
      <c r="J149" t="s">
        <v>266</v>
      </c>
      <c r="L149" t="s">
        <v>34</v>
      </c>
      <c r="M149" t="s">
        <v>35</v>
      </c>
      <c r="N149" t="s">
        <v>36</v>
      </c>
      <c r="P149" t="s">
        <v>533</v>
      </c>
      <c r="R149" t="s">
        <v>525</v>
      </c>
      <c r="S149" t="s">
        <v>526</v>
      </c>
      <c r="V149" t="s">
        <v>36</v>
      </c>
      <c r="W149" t="s">
        <v>36</v>
      </c>
      <c r="Y149" t="s">
        <v>527</v>
      </c>
      <c r="AA149" t="s">
        <v>534</v>
      </c>
      <c r="AB149" s="16" t="s">
        <v>898</v>
      </c>
      <c r="AC149" t="str">
        <f>VLOOKUP(Y149,'впр данные'!A:B,2,1)</f>
        <v>РГП, страт-п-с-26-09</v>
      </c>
      <c r="AD149" t="str">
        <f>VLOOKUP(Y149,'впр данные'!A:C,3,1)</f>
        <v>РГП</v>
      </c>
    </row>
    <row r="150" spans="1:30" hidden="1" x14ac:dyDescent="0.3">
      <c r="A150">
        <v>187</v>
      </c>
      <c r="B150" t="s">
        <v>27</v>
      </c>
      <c r="C150" t="s">
        <v>28</v>
      </c>
      <c r="D150" t="s">
        <v>29</v>
      </c>
      <c r="G150" t="s">
        <v>30</v>
      </c>
      <c r="H150" t="s">
        <v>535</v>
      </c>
      <c r="I150" t="s">
        <v>41</v>
      </c>
      <c r="J150" t="s">
        <v>42</v>
      </c>
      <c r="L150" t="s">
        <v>34</v>
      </c>
      <c r="M150" t="s">
        <v>35</v>
      </c>
      <c r="N150" t="s">
        <v>36</v>
      </c>
      <c r="P150" t="s">
        <v>536</v>
      </c>
      <c r="R150" t="s">
        <v>525</v>
      </c>
      <c r="S150" t="s">
        <v>526</v>
      </c>
      <c r="V150" t="s">
        <v>36</v>
      </c>
      <c r="W150" t="s">
        <v>36</v>
      </c>
      <c r="Y150" t="s">
        <v>527</v>
      </c>
      <c r="AA150" t="s">
        <v>537</v>
      </c>
      <c r="AB150" s="16" t="s">
        <v>898</v>
      </c>
      <c r="AC150" t="str">
        <f>VLOOKUP(Y150,'впр данные'!A:B,2,1)</f>
        <v>РГП, страт-п-с-26-09</v>
      </c>
      <c r="AD150" t="str">
        <f>VLOOKUP(Y150,'впр данные'!A:C,3,1)</f>
        <v>РГП</v>
      </c>
    </row>
    <row r="151" spans="1:30" hidden="1" x14ac:dyDescent="0.3">
      <c r="A151">
        <v>186</v>
      </c>
      <c r="B151" t="s">
        <v>27</v>
      </c>
      <c r="C151" t="s">
        <v>28</v>
      </c>
      <c r="D151" t="s">
        <v>29</v>
      </c>
      <c r="G151" t="s">
        <v>30</v>
      </c>
      <c r="H151" t="s">
        <v>538</v>
      </c>
      <c r="I151" t="s">
        <v>41</v>
      </c>
      <c r="J151" t="s">
        <v>42</v>
      </c>
      <c r="L151" t="s">
        <v>34</v>
      </c>
      <c r="M151" t="s">
        <v>35</v>
      </c>
      <c r="N151" t="s">
        <v>36</v>
      </c>
      <c r="P151" t="s">
        <v>539</v>
      </c>
      <c r="R151" t="s">
        <v>525</v>
      </c>
      <c r="S151" t="s">
        <v>526</v>
      </c>
      <c r="V151" t="s">
        <v>36</v>
      </c>
      <c r="W151" t="s">
        <v>36</v>
      </c>
      <c r="Y151" t="s">
        <v>527</v>
      </c>
      <c r="AA151" t="s">
        <v>540</v>
      </c>
      <c r="AB151" s="16" t="s">
        <v>898</v>
      </c>
      <c r="AC151" t="str">
        <f>VLOOKUP(Y151,'впр данные'!A:B,2,1)</f>
        <v>РГП, страт-п-с-26-09</v>
      </c>
      <c r="AD151" t="str">
        <f>VLOOKUP(Y151,'впр данные'!A:C,3,1)</f>
        <v>РГП</v>
      </c>
    </row>
    <row r="152" spans="1:30" hidden="1" x14ac:dyDescent="0.3">
      <c r="A152">
        <v>185</v>
      </c>
      <c r="B152" t="s">
        <v>27</v>
      </c>
      <c r="C152" t="s">
        <v>28</v>
      </c>
      <c r="D152" t="s">
        <v>29</v>
      </c>
      <c r="G152" t="s">
        <v>30</v>
      </c>
      <c r="H152" t="s">
        <v>541</v>
      </c>
      <c r="I152" t="s">
        <v>41</v>
      </c>
      <c r="J152" t="s">
        <v>42</v>
      </c>
      <c r="L152" t="s">
        <v>34</v>
      </c>
      <c r="M152" t="s">
        <v>35</v>
      </c>
      <c r="N152" t="s">
        <v>36</v>
      </c>
      <c r="P152" t="s">
        <v>542</v>
      </c>
      <c r="R152" t="s">
        <v>525</v>
      </c>
      <c r="S152" t="s">
        <v>526</v>
      </c>
      <c r="V152" t="s">
        <v>36</v>
      </c>
      <c r="W152" t="s">
        <v>36</v>
      </c>
      <c r="Y152" t="s">
        <v>527</v>
      </c>
      <c r="AA152" t="s">
        <v>543</v>
      </c>
      <c r="AB152" s="16" t="s">
        <v>898</v>
      </c>
      <c r="AC152" t="str">
        <f>VLOOKUP(Y152,'впр данные'!A:B,2,1)</f>
        <v>РГП, страт-п-с-26-09</v>
      </c>
      <c r="AD152" t="str">
        <f>VLOOKUP(Y152,'впр данные'!A:C,3,1)</f>
        <v>РГП</v>
      </c>
    </row>
    <row r="153" spans="1:30" hidden="1" x14ac:dyDescent="0.3">
      <c r="A153">
        <v>184</v>
      </c>
      <c r="B153" t="s">
        <v>27</v>
      </c>
      <c r="C153" t="s">
        <v>28</v>
      </c>
      <c r="D153" t="s">
        <v>29</v>
      </c>
      <c r="G153" t="s">
        <v>30</v>
      </c>
      <c r="H153" t="s">
        <v>544</v>
      </c>
      <c r="I153" t="s">
        <v>248</v>
      </c>
      <c r="J153" t="s">
        <v>249</v>
      </c>
      <c r="L153" t="s">
        <v>34</v>
      </c>
      <c r="M153" t="s">
        <v>35</v>
      </c>
      <c r="N153" t="s">
        <v>36</v>
      </c>
      <c r="P153" t="s">
        <v>545</v>
      </c>
      <c r="R153" t="s">
        <v>525</v>
      </c>
      <c r="S153" t="s">
        <v>526</v>
      </c>
      <c r="V153" t="s">
        <v>36</v>
      </c>
      <c r="W153" t="s">
        <v>36</v>
      </c>
      <c r="Y153" t="s">
        <v>527</v>
      </c>
      <c r="AA153" t="s">
        <v>546</v>
      </c>
      <c r="AB153" s="16" t="s">
        <v>898</v>
      </c>
      <c r="AC153" t="str">
        <f>VLOOKUP(Y153,'впр данные'!A:B,2,1)</f>
        <v>РГП, страт-п-с-26-09</v>
      </c>
      <c r="AD153" t="str">
        <f>VLOOKUP(Y153,'впр данные'!A:C,3,1)</f>
        <v>РГП</v>
      </c>
    </row>
    <row r="154" spans="1:30" hidden="1" x14ac:dyDescent="0.3">
      <c r="A154">
        <v>183</v>
      </c>
      <c r="B154" t="s">
        <v>27</v>
      </c>
      <c r="C154" t="s">
        <v>28</v>
      </c>
      <c r="D154" t="s">
        <v>29</v>
      </c>
      <c r="G154" t="s">
        <v>30</v>
      </c>
      <c r="H154" t="s">
        <v>547</v>
      </c>
      <c r="I154" t="s">
        <v>248</v>
      </c>
      <c r="J154" t="s">
        <v>249</v>
      </c>
      <c r="L154" t="s">
        <v>34</v>
      </c>
      <c r="M154" t="s">
        <v>35</v>
      </c>
      <c r="N154" t="s">
        <v>36</v>
      </c>
      <c r="P154" t="s">
        <v>548</v>
      </c>
      <c r="R154" t="s">
        <v>525</v>
      </c>
      <c r="S154" t="s">
        <v>526</v>
      </c>
      <c r="V154" t="s">
        <v>36</v>
      </c>
      <c r="W154" t="s">
        <v>36</v>
      </c>
      <c r="Y154" t="s">
        <v>527</v>
      </c>
      <c r="AA154" t="s">
        <v>549</v>
      </c>
      <c r="AB154" s="16" t="s">
        <v>898</v>
      </c>
      <c r="AC154" t="str">
        <f>VLOOKUP(Y154,'впр данные'!A:B,2,1)</f>
        <v>РГП, страт-п-с-26-09</v>
      </c>
      <c r="AD154" t="str">
        <f>VLOOKUP(Y154,'впр данные'!A:C,3,1)</f>
        <v>РГП</v>
      </c>
    </row>
    <row r="155" spans="1:30" hidden="1" x14ac:dyDescent="0.3">
      <c r="A155">
        <v>182</v>
      </c>
      <c r="B155" t="s">
        <v>27</v>
      </c>
      <c r="C155" t="s">
        <v>28</v>
      </c>
      <c r="D155" t="s">
        <v>29</v>
      </c>
      <c r="G155" t="s">
        <v>30</v>
      </c>
      <c r="H155" t="s">
        <v>550</v>
      </c>
      <c r="I155" t="s">
        <v>243</v>
      </c>
      <c r="J155" t="s">
        <v>244</v>
      </c>
      <c r="L155" t="s">
        <v>34</v>
      </c>
      <c r="M155" t="s">
        <v>35</v>
      </c>
      <c r="N155" t="s">
        <v>36</v>
      </c>
      <c r="P155" t="s">
        <v>551</v>
      </c>
      <c r="R155" t="s">
        <v>525</v>
      </c>
      <c r="S155" t="s">
        <v>526</v>
      </c>
      <c r="V155" t="s">
        <v>36</v>
      </c>
      <c r="W155" t="s">
        <v>36</v>
      </c>
      <c r="Y155" t="s">
        <v>527</v>
      </c>
      <c r="AA155" t="s">
        <v>552</v>
      </c>
      <c r="AB155" s="16" t="s">
        <v>898</v>
      </c>
      <c r="AC155" t="str">
        <f>VLOOKUP(Y155,'впр данные'!A:B,2,1)</f>
        <v>РГП, страт-п-с-26-09</v>
      </c>
      <c r="AD155" t="str">
        <f>VLOOKUP(Y155,'впр данные'!A:C,3,1)</f>
        <v>РГП</v>
      </c>
    </row>
    <row r="156" spans="1:30" hidden="1" x14ac:dyDescent="0.3">
      <c r="A156">
        <v>181</v>
      </c>
      <c r="B156" t="s">
        <v>27</v>
      </c>
      <c r="C156" t="s">
        <v>28</v>
      </c>
      <c r="D156" t="s">
        <v>29</v>
      </c>
      <c r="G156" t="s">
        <v>30</v>
      </c>
      <c r="H156" t="s">
        <v>553</v>
      </c>
      <c r="I156" t="s">
        <v>234</v>
      </c>
      <c r="J156" t="s">
        <v>235</v>
      </c>
      <c r="L156" t="s">
        <v>34</v>
      </c>
      <c r="M156" t="s">
        <v>35</v>
      </c>
      <c r="N156" t="s">
        <v>36</v>
      </c>
      <c r="P156" t="s">
        <v>554</v>
      </c>
      <c r="R156" t="s">
        <v>525</v>
      </c>
      <c r="S156" t="s">
        <v>526</v>
      </c>
      <c r="V156" t="s">
        <v>36</v>
      </c>
      <c r="W156" t="s">
        <v>36</v>
      </c>
      <c r="Y156" t="s">
        <v>527</v>
      </c>
      <c r="AA156" t="s">
        <v>555</v>
      </c>
      <c r="AB156" s="16" t="s">
        <v>898</v>
      </c>
      <c r="AC156" t="str">
        <f>VLOOKUP(Y156,'впр данные'!A:B,2,1)</f>
        <v>РГП, страт-п-с-26-09</v>
      </c>
      <c r="AD156" t="str">
        <f>VLOOKUP(Y156,'впр данные'!A:C,3,1)</f>
        <v>РГП</v>
      </c>
    </row>
    <row r="157" spans="1:30" hidden="1" x14ac:dyDescent="0.3">
      <c r="A157">
        <v>180</v>
      </c>
      <c r="B157" t="s">
        <v>27</v>
      </c>
      <c r="C157" t="s">
        <v>28</v>
      </c>
      <c r="D157" t="s">
        <v>29</v>
      </c>
      <c r="G157" t="s">
        <v>30</v>
      </c>
      <c r="H157" t="s">
        <v>556</v>
      </c>
      <c r="I157" t="s">
        <v>226</v>
      </c>
      <c r="J157" t="s">
        <v>227</v>
      </c>
      <c r="L157" t="s">
        <v>34</v>
      </c>
      <c r="M157" t="s">
        <v>35</v>
      </c>
      <c r="N157" t="s">
        <v>36</v>
      </c>
      <c r="P157" t="s">
        <v>557</v>
      </c>
      <c r="R157" t="s">
        <v>525</v>
      </c>
      <c r="S157" t="s">
        <v>526</v>
      </c>
      <c r="V157" t="s">
        <v>36</v>
      </c>
      <c r="W157" t="s">
        <v>36</v>
      </c>
      <c r="Y157" t="s">
        <v>558</v>
      </c>
      <c r="AA157" t="s">
        <v>559</v>
      </c>
      <c r="AB157" s="16" t="s">
        <v>898</v>
      </c>
      <c r="AC157" t="str">
        <f>VLOOKUP(Y157,'впр данные'!A:B,2,1)</f>
        <v>РГП, страт-п-с-26-09</v>
      </c>
      <c r="AD157" t="str">
        <f>VLOOKUP(Y157,'впр данные'!A:C,3,1)</f>
        <v>РГП</v>
      </c>
    </row>
    <row r="158" spans="1:30" hidden="1" x14ac:dyDescent="0.3">
      <c r="A158">
        <v>179</v>
      </c>
      <c r="B158" t="s">
        <v>27</v>
      </c>
      <c r="C158" t="s">
        <v>28</v>
      </c>
      <c r="D158" t="s">
        <v>29</v>
      </c>
      <c r="G158" t="s">
        <v>30</v>
      </c>
      <c r="H158" t="s">
        <v>560</v>
      </c>
      <c r="I158" t="s">
        <v>226</v>
      </c>
      <c r="J158" t="s">
        <v>227</v>
      </c>
      <c r="L158" t="s">
        <v>34</v>
      </c>
      <c r="M158" t="s">
        <v>35</v>
      </c>
      <c r="N158" t="s">
        <v>36</v>
      </c>
      <c r="P158" t="s">
        <v>561</v>
      </c>
      <c r="R158" t="s">
        <v>525</v>
      </c>
      <c r="S158" t="s">
        <v>526</v>
      </c>
      <c r="V158" t="s">
        <v>36</v>
      </c>
      <c r="W158" t="s">
        <v>36</v>
      </c>
      <c r="Y158" t="s">
        <v>558</v>
      </c>
      <c r="AA158" t="s">
        <v>562</v>
      </c>
      <c r="AB158" s="16" t="s">
        <v>898</v>
      </c>
      <c r="AC158" t="str">
        <f>VLOOKUP(Y158,'впр данные'!A:B,2,1)</f>
        <v>РГП, страт-п-с-26-09</v>
      </c>
      <c r="AD158" t="str">
        <f>VLOOKUP(Y158,'впр данные'!A:C,3,1)</f>
        <v>РГП</v>
      </c>
    </row>
    <row r="159" spans="1:30" hidden="1" x14ac:dyDescent="0.3">
      <c r="A159">
        <v>178</v>
      </c>
      <c r="B159" t="s">
        <v>27</v>
      </c>
      <c r="C159" t="s">
        <v>28</v>
      </c>
      <c r="D159" t="s">
        <v>29</v>
      </c>
      <c r="G159" t="s">
        <v>30</v>
      </c>
      <c r="H159" t="s">
        <v>563</v>
      </c>
      <c r="I159" t="s">
        <v>226</v>
      </c>
      <c r="J159" t="s">
        <v>227</v>
      </c>
      <c r="L159" t="s">
        <v>34</v>
      </c>
      <c r="M159" t="s">
        <v>35</v>
      </c>
      <c r="N159" t="s">
        <v>36</v>
      </c>
      <c r="P159" t="s">
        <v>564</v>
      </c>
      <c r="R159" t="s">
        <v>525</v>
      </c>
      <c r="S159" t="s">
        <v>526</v>
      </c>
      <c r="V159" t="s">
        <v>36</v>
      </c>
      <c r="W159" t="s">
        <v>36</v>
      </c>
      <c r="Y159" t="s">
        <v>558</v>
      </c>
      <c r="AA159" t="s">
        <v>565</v>
      </c>
      <c r="AB159" s="16" t="s">
        <v>898</v>
      </c>
      <c r="AC159" t="str">
        <f>VLOOKUP(Y159,'впр данные'!A:B,2,1)</f>
        <v>РГП, страт-п-с-26-09</v>
      </c>
      <c r="AD159" t="str">
        <f>VLOOKUP(Y159,'впр данные'!A:C,3,1)</f>
        <v>РГП</v>
      </c>
    </row>
    <row r="160" spans="1:30" hidden="1" x14ac:dyDescent="0.3">
      <c r="A160">
        <v>177</v>
      </c>
      <c r="B160" t="s">
        <v>27</v>
      </c>
      <c r="C160" t="s">
        <v>28</v>
      </c>
      <c r="D160" t="s">
        <v>29</v>
      </c>
      <c r="G160" t="s">
        <v>30</v>
      </c>
      <c r="H160" t="s">
        <v>566</v>
      </c>
      <c r="I160" t="s">
        <v>226</v>
      </c>
      <c r="J160" t="s">
        <v>227</v>
      </c>
      <c r="L160" t="s">
        <v>34</v>
      </c>
      <c r="M160" t="s">
        <v>35</v>
      </c>
      <c r="N160" t="s">
        <v>36</v>
      </c>
      <c r="P160" t="s">
        <v>567</v>
      </c>
      <c r="R160" t="s">
        <v>525</v>
      </c>
      <c r="S160" t="s">
        <v>526</v>
      </c>
      <c r="V160" t="s">
        <v>36</v>
      </c>
      <c r="W160" t="s">
        <v>36</v>
      </c>
      <c r="Y160" t="s">
        <v>558</v>
      </c>
      <c r="AA160" t="s">
        <v>568</v>
      </c>
      <c r="AB160" s="16" t="s">
        <v>898</v>
      </c>
      <c r="AC160" t="str">
        <f>VLOOKUP(Y160,'впр данные'!A:B,2,1)</f>
        <v>РГП, страт-п-с-26-09</v>
      </c>
      <c r="AD160" t="str">
        <f>VLOOKUP(Y160,'впр данные'!A:C,3,1)</f>
        <v>РГП</v>
      </c>
    </row>
    <row r="161" spans="1:30" hidden="1" x14ac:dyDescent="0.3">
      <c r="A161">
        <v>176</v>
      </c>
      <c r="B161" t="s">
        <v>27</v>
      </c>
      <c r="C161" t="s">
        <v>28</v>
      </c>
      <c r="D161" t="s">
        <v>29</v>
      </c>
      <c r="G161" t="s">
        <v>30</v>
      </c>
      <c r="H161" t="s">
        <v>569</v>
      </c>
      <c r="I161" t="s">
        <v>218</v>
      </c>
      <c r="J161" t="s">
        <v>219</v>
      </c>
      <c r="L161" t="s">
        <v>34</v>
      </c>
      <c r="M161" t="s">
        <v>35</v>
      </c>
      <c r="N161" t="s">
        <v>36</v>
      </c>
      <c r="P161" t="s">
        <v>570</v>
      </c>
      <c r="R161" t="s">
        <v>525</v>
      </c>
      <c r="S161" t="s">
        <v>526</v>
      </c>
      <c r="V161" t="s">
        <v>36</v>
      </c>
      <c r="W161" t="s">
        <v>36</v>
      </c>
      <c r="Y161" t="s">
        <v>558</v>
      </c>
      <c r="AA161" t="s">
        <v>571</v>
      </c>
      <c r="AB161" s="16" t="s">
        <v>898</v>
      </c>
      <c r="AC161" t="str">
        <f>VLOOKUP(Y161,'впр данные'!A:B,2,1)</f>
        <v>РГП, страт-п-с-26-09</v>
      </c>
      <c r="AD161" t="str">
        <f>VLOOKUP(Y161,'впр данные'!A:C,3,1)</f>
        <v>РГП</v>
      </c>
    </row>
    <row r="162" spans="1:30" hidden="1" x14ac:dyDescent="0.3">
      <c r="A162">
        <v>175</v>
      </c>
      <c r="B162" t="s">
        <v>27</v>
      </c>
      <c r="C162" t="s">
        <v>28</v>
      </c>
      <c r="D162" t="s">
        <v>29</v>
      </c>
      <c r="G162" t="s">
        <v>30</v>
      </c>
      <c r="H162" t="s">
        <v>572</v>
      </c>
      <c r="I162" t="s">
        <v>218</v>
      </c>
      <c r="J162" t="s">
        <v>219</v>
      </c>
      <c r="L162" t="s">
        <v>34</v>
      </c>
      <c r="M162" t="s">
        <v>35</v>
      </c>
      <c r="N162" t="s">
        <v>36</v>
      </c>
      <c r="P162" t="s">
        <v>573</v>
      </c>
      <c r="R162" t="s">
        <v>525</v>
      </c>
      <c r="S162" t="s">
        <v>526</v>
      </c>
      <c r="V162" t="s">
        <v>36</v>
      </c>
      <c r="W162" t="s">
        <v>36</v>
      </c>
      <c r="Y162" t="s">
        <v>558</v>
      </c>
      <c r="AA162" t="s">
        <v>574</v>
      </c>
      <c r="AB162" s="16" t="s">
        <v>898</v>
      </c>
      <c r="AC162" t="str">
        <f>VLOOKUP(Y162,'впр данные'!A:B,2,1)</f>
        <v>РГП, страт-п-с-26-09</v>
      </c>
      <c r="AD162" t="str">
        <f>VLOOKUP(Y162,'впр данные'!A:C,3,1)</f>
        <v>РГП</v>
      </c>
    </row>
    <row r="163" spans="1:30" hidden="1" x14ac:dyDescent="0.3">
      <c r="A163">
        <v>174</v>
      </c>
      <c r="B163" t="s">
        <v>27</v>
      </c>
      <c r="C163" t="s">
        <v>28</v>
      </c>
      <c r="D163" t="s">
        <v>29</v>
      </c>
      <c r="G163" t="s">
        <v>30</v>
      </c>
      <c r="H163" t="s">
        <v>575</v>
      </c>
      <c r="I163" t="s">
        <v>218</v>
      </c>
      <c r="J163" t="s">
        <v>219</v>
      </c>
      <c r="L163" t="s">
        <v>34</v>
      </c>
      <c r="M163" t="s">
        <v>35</v>
      </c>
      <c r="N163" t="s">
        <v>36</v>
      </c>
      <c r="P163" t="s">
        <v>576</v>
      </c>
      <c r="R163" t="s">
        <v>525</v>
      </c>
      <c r="S163" t="s">
        <v>526</v>
      </c>
      <c r="V163" t="s">
        <v>36</v>
      </c>
      <c r="W163" t="s">
        <v>36</v>
      </c>
      <c r="Y163" t="s">
        <v>558</v>
      </c>
      <c r="AA163" t="s">
        <v>577</v>
      </c>
      <c r="AB163" s="16" t="s">
        <v>898</v>
      </c>
      <c r="AC163" t="str">
        <f>VLOOKUP(Y163,'впр данные'!A:B,2,1)</f>
        <v>РГП, страт-п-с-26-09</v>
      </c>
      <c r="AD163" t="str">
        <f>VLOOKUP(Y163,'впр данные'!A:C,3,1)</f>
        <v>РГП</v>
      </c>
    </row>
    <row r="164" spans="1:30" hidden="1" x14ac:dyDescent="0.3">
      <c r="A164">
        <v>173</v>
      </c>
      <c r="B164" t="s">
        <v>27</v>
      </c>
      <c r="C164" t="s">
        <v>28</v>
      </c>
      <c r="D164" t="s">
        <v>29</v>
      </c>
      <c r="G164" t="s">
        <v>30</v>
      </c>
      <c r="H164" t="s">
        <v>578</v>
      </c>
      <c r="I164" t="s">
        <v>210</v>
      </c>
      <c r="J164" t="s">
        <v>211</v>
      </c>
      <c r="L164" t="s">
        <v>34</v>
      </c>
      <c r="M164" t="s">
        <v>35</v>
      </c>
      <c r="N164" t="s">
        <v>36</v>
      </c>
      <c r="P164" t="s">
        <v>579</v>
      </c>
      <c r="R164" t="s">
        <v>525</v>
      </c>
      <c r="S164" t="s">
        <v>526</v>
      </c>
      <c r="V164" t="s">
        <v>36</v>
      </c>
      <c r="W164" t="s">
        <v>36</v>
      </c>
      <c r="Y164" t="s">
        <v>558</v>
      </c>
      <c r="AA164" t="s">
        <v>580</v>
      </c>
      <c r="AB164" s="16" t="s">
        <v>898</v>
      </c>
      <c r="AC164" t="str">
        <f>VLOOKUP(Y164,'впр данные'!A:B,2,1)</f>
        <v>РГП, страт-п-с-26-09</v>
      </c>
      <c r="AD164" t="str">
        <f>VLOOKUP(Y164,'впр данные'!A:C,3,1)</f>
        <v>РГП</v>
      </c>
    </row>
    <row r="165" spans="1:30" hidden="1" x14ac:dyDescent="0.3">
      <c r="A165">
        <v>172</v>
      </c>
      <c r="B165" t="s">
        <v>27</v>
      </c>
      <c r="C165" t="s">
        <v>28</v>
      </c>
      <c r="D165" t="s">
        <v>29</v>
      </c>
      <c r="G165" t="s">
        <v>30</v>
      </c>
      <c r="H165" t="s">
        <v>581</v>
      </c>
      <c r="I165" t="s">
        <v>210</v>
      </c>
      <c r="J165" t="s">
        <v>211</v>
      </c>
      <c r="L165" t="s">
        <v>34</v>
      </c>
      <c r="M165" t="s">
        <v>35</v>
      </c>
      <c r="N165" t="s">
        <v>36</v>
      </c>
      <c r="P165" t="s">
        <v>582</v>
      </c>
      <c r="R165" t="s">
        <v>525</v>
      </c>
      <c r="S165" t="s">
        <v>526</v>
      </c>
      <c r="V165" t="s">
        <v>36</v>
      </c>
      <c r="W165" t="s">
        <v>36</v>
      </c>
      <c r="Y165" t="s">
        <v>558</v>
      </c>
      <c r="AA165" t="s">
        <v>583</v>
      </c>
      <c r="AB165" s="16" t="s">
        <v>898</v>
      </c>
      <c r="AC165" t="str">
        <f>VLOOKUP(Y165,'впр данные'!A:B,2,1)</f>
        <v>РГП, страт-п-с-26-09</v>
      </c>
      <c r="AD165" t="str">
        <f>VLOOKUP(Y165,'впр данные'!A:C,3,1)</f>
        <v>РГП</v>
      </c>
    </row>
    <row r="166" spans="1:30" hidden="1" x14ac:dyDescent="0.3">
      <c r="A166">
        <v>171</v>
      </c>
      <c r="B166" t="s">
        <v>27</v>
      </c>
      <c r="C166" t="s">
        <v>28</v>
      </c>
      <c r="D166" t="s">
        <v>29</v>
      </c>
      <c r="G166" t="s">
        <v>30</v>
      </c>
      <c r="H166" t="s">
        <v>584</v>
      </c>
      <c r="I166" t="s">
        <v>210</v>
      </c>
      <c r="J166" t="s">
        <v>211</v>
      </c>
      <c r="L166" t="s">
        <v>34</v>
      </c>
      <c r="M166" t="s">
        <v>35</v>
      </c>
      <c r="N166" t="s">
        <v>36</v>
      </c>
      <c r="P166" t="s">
        <v>585</v>
      </c>
      <c r="R166" t="s">
        <v>525</v>
      </c>
      <c r="S166" t="s">
        <v>526</v>
      </c>
      <c r="V166" t="s">
        <v>36</v>
      </c>
      <c r="W166" t="s">
        <v>36</v>
      </c>
      <c r="Y166" t="s">
        <v>558</v>
      </c>
      <c r="AA166" t="s">
        <v>586</v>
      </c>
      <c r="AB166" s="16" t="s">
        <v>898</v>
      </c>
      <c r="AC166" t="str">
        <f>VLOOKUP(Y166,'впр данные'!A:B,2,1)</f>
        <v>РГП, страт-п-с-26-09</v>
      </c>
      <c r="AD166" t="str">
        <f>VLOOKUP(Y166,'впр данные'!A:C,3,1)</f>
        <v>РГП</v>
      </c>
    </row>
    <row r="167" spans="1:30" hidden="1" x14ac:dyDescent="0.3">
      <c r="A167">
        <v>170</v>
      </c>
      <c r="B167" t="s">
        <v>27</v>
      </c>
      <c r="C167" t="s">
        <v>28</v>
      </c>
      <c r="D167" t="s">
        <v>29</v>
      </c>
      <c r="G167" t="s">
        <v>30</v>
      </c>
      <c r="H167" t="s">
        <v>587</v>
      </c>
      <c r="I167" t="s">
        <v>210</v>
      </c>
      <c r="J167" t="s">
        <v>211</v>
      </c>
      <c r="L167" t="s">
        <v>34</v>
      </c>
      <c r="M167" t="s">
        <v>35</v>
      </c>
      <c r="N167" t="s">
        <v>36</v>
      </c>
      <c r="P167" t="s">
        <v>588</v>
      </c>
      <c r="R167" t="s">
        <v>525</v>
      </c>
      <c r="S167" t="s">
        <v>526</v>
      </c>
      <c r="V167" t="s">
        <v>36</v>
      </c>
      <c r="W167" t="s">
        <v>36</v>
      </c>
      <c r="Y167" t="s">
        <v>558</v>
      </c>
      <c r="AA167" t="s">
        <v>589</v>
      </c>
      <c r="AB167" s="16" t="s">
        <v>898</v>
      </c>
      <c r="AC167" t="str">
        <f>VLOOKUP(Y167,'впр данные'!A:B,2,1)</f>
        <v>РГП, страт-п-с-26-09</v>
      </c>
      <c r="AD167" t="str">
        <f>VLOOKUP(Y167,'впр данные'!A:C,3,1)</f>
        <v>РГП</v>
      </c>
    </row>
    <row r="168" spans="1:30" hidden="1" x14ac:dyDescent="0.3">
      <c r="A168">
        <v>169</v>
      </c>
      <c r="B168" t="s">
        <v>27</v>
      </c>
      <c r="C168" t="s">
        <v>28</v>
      </c>
      <c r="D168" t="s">
        <v>29</v>
      </c>
      <c r="G168" t="s">
        <v>30</v>
      </c>
      <c r="H168" t="s">
        <v>590</v>
      </c>
      <c r="I168" t="s">
        <v>199</v>
      </c>
      <c r="J168" t="s">
        <v>200</v>
      </c>
      <c r="L168" t="s">
        <v>34</v>
      </c>
      <c r="M168" t="s">
        <v>35</v>
      </c>
      <c r="N168" t="s">
        <v>36</v>
      </c>
      <c r="P168" t="s">
        <v>591</v>
      </c>
      <c r="R168" t="s">
        <v>525</v>
      </c>
      <c r="S168" t="s">
        <v>526</v>
      </c>
      <c r="V168" t="s">
        <v>36</v>
      </c>
      <c r="W168" t="s">
        <v>36</v>
      </c>
      <c r="Y168" t="s">
        <v>558</v>
      </c>
      <c r="AA168" t="s">
        <v>592</v>
      </c>
      <c r="AB168" s="16" t="s">
        <v>898</v>
      </c>
      <c r="AC168" t="str">
        <f>VLOOKUP(Y168,'впр данные'!A:B,2,1)</f>
        <v>РГП, страт-п-с-26-09</v>
      </c>
      <c r="AD168" t="str">
        <f>VLOOKUP(Y168,'впр данные'!A:C,3,1)</f>
        <v>РГП</v>
      </c>
    </row>
    <row r="169" spans="1:30" hidden="1" x14ac:dyDescent="0.3">
      <c r="A169">
        <v>168</v>
      </c>
      <c r="B169" t="s">
        <v>27</v>
      </c>
      <c r="C169" t="s">
        <v>28</v>
      </c>
      <c r="D169" t="s">
        <v>29</v>
      </c>
      <c r="G169" t="s">
        <v>30</v>
      </c>
      <c r="H169" t="s">
        <v>593</v>
      </c>
      <c r="I169" t="s">
        <v>199</v>
      </c>
      <c r="J169" t="s">
        <v>200</v>
      </c>
      <c r="L169" t="s">
        <v>34</v>
      </c>
      <c r="M169" t="s">
        <v>35</v>
      </c>
      <c r="N169" t="s">
        <v>36</v>
      </c>
      <c r="P169" t="s">
        <v>594</v>
      </c>
      <c r="R169" t="s">
        <v>525</v>
      </c>
      <c r="S169" t="s">
        <v>526</v>
      </c>
      <c r="V169" t="s">
        <v>36</v>
      </c>
      <c r="W169" t="s">
        <v>36</v>
      </c>
      <c r="Y169" t="s">
        <v>558</v>
      </c>
      <c r="AA169" t="s">
        <v>595</v>
      </c>
      <c r="AB169" s="16" t="s">
        <v>898</v>
      </c>
      <c r="AC169" t="str">
        <f>VLOOKUP(Y169,'впр данные'!A:B,2,1)</f>
        <v>РГП, страт-п-с-26-09</v>
      </c>
      <c r="AD169" t="str">
        <f>VLOOKUP(Y169,'впр данные'!A:C,3,1)</f>
        <v>РГП</v>
      </c>
    </row>
    <row r="170" spans="1:30" hidden="1" x14ac:dyDescent="0.3">
      <c r="A170">
        <v>167</v>
      </c>
      <c r="B170" t="s">
        <v>27</v>
      </c>
      <c r="C170" t="s">
        <v>28</v>
      </c>
      <c r="D170" t="s">
        <v>29</v>
      </c>
      <c r="G170" t="s">
        <v>30</v>
      </c>
      <c r="H170" t="s">
        <v>596</v>
      </c>
      <c r="I170" t="s">
        <v>199</v>
      </c>
      <c r="J170" t="s">
        <v>200</v>
      </c>
      <c r="L170" t="s">
        <v>34</v>
      </c>
      <c r="M170" t="s">
        <v>35</v>
      </c>
      <c r="N170" t="s">
        <v>36</v>
      </c>
      <c r="P170" t="s">
        <v>597</v>
      </c>
      <c r="R170" t="s">
        <v>525</v>
      </c>
      <c r="S170" t="s">
        <v>526</v>
      </c>
      <c r="V170" t="s">
        <v>36</v>
      </c>
      <c r="W170" t="s">
        <v>36</v>
      </c>
      <c r="Y170" t="s">
        <v>558</v>
      </c>
      <c r="AA170" t="s">
        <v>598</v>
      </c>
      <c r="AB170" s="16" t="s">
        <v>898</v>
      </c>
      <c r="AC170" t="str">
        <f>VLOOKUP(Y170,'впр данные'!A:B,2,1)</f>
        <v>РГП, страт-п-с-26-09</v>
      </c>
      <c r="AD170" t="str">
        <f>VLOOKUP(Y170,'впр данные'!A:C,3,1)</f>
        <v>РГП</v>
      </c>
    </row>
    <row r="171" spans="1:30" hidden="1" x14ac:dyDescent="0.3">
      <c r="A171">
        <v>166</v>
      </c>
      <c r="B171" t="s">
        <v>27</v>
      </c>
      <c r="C171" t="s">
        <v>28</v>
      </c>
      <c r="D171" t="s">
        <v>29</v>
      </c>
      <c r="G171" t="s">
        <v>30</v>
      </c>
      <c r="H171" t="s">
        <v>599</v>
      </c>
      <c r="I171" t="s">
        <v>199</v>
      </c>
      <c r="J171" t="s">
        <v>200</v>
      </c>
      <c r="L171" t="s">
        <v>34</v>
      </c>
      <c r="M171" t="s">
        <v>35</v>
      </c>
      <c r="N171" t="s">
        <v>36</v>
      </c>
      <c r="P171" t="s">
        <v>600</v>
      </c>
      <c r="R171" t="s">
        <v>525</v>
      </c>
      <c r="S171" t="s">
        <v>526</v>
      </c>
      <c r="V171" t="s">
        <v>36</v>
      </c>
      <c r="W171" t="s">
        <v>36</v>
      </c>
      <c r="Y171" t="s">
        <v>558</v>
      </c>
      <c r="AA171" t="s">
        <v>601</v>
      </c>
      <c r="AB171" s="16" t="s">
        <v>898</v>
      </c>
      <c r="AC171" t="str">
        <f>VLOOKUP(Y171,'впр данные'!A:B,2,1)</f>
        <v>РГП, страт-п-с-26-09</v>
      </c>
      <c r="AD171" t="str">
        <f>VLOOKUP(Y171,'впр данные'!A:C,3,1)</f>
        <v>РГП</v>
      </c>
    </row>
    <row r="172" spans="1:30" hidden="1" x14ac:dyDescent="0.3">
      <c r="A172">
        <v>165</v>
      </c>
      <c r="B172" t="s">
        <v>27</v>
      </c>
      <c r="C172" t="s">
        <v>28</v>
      </c>
      <c r="D172" t="s">
        <v>29</v>
      </c>
      <c r="G172" t="s">
        <v>30</v>
      </c>
      <c r="H172" t="s">
        <v>602</v>
      </c>
      <c r="I172" t="s">
        <v>185</v>
      </c>
      <c r="J172" t="s">
        <v>186</v>
      </c>
      <c r="L172" t="s">
        <v>34</v>
      </c>
      <c r="M172" t="s">
        <v>35</v>
      </c>
      <c r="N172" t="s">
        <v>36</v>
      </c>
      <c r="P172" t="s">
        <v>603</v>
      </c>
      <c r="R172" t="s">
        <v>525</v>
      </c>
      <c r="S172" t="s">
        <v>526</v>
      </c>
      <c r="V172" t="s">
        <v>36</v>
      </c>
      <c r="W172" t="s">
        <v>36</v>
      </c>
      <c r="Y172" t="s">
        <v>558</v>
      </c>
      <c r="AA172" t="s">
        <v>604</v>
      </c>
      <c r="AB172" s="16" t="s">
        <v>898</v>
      </c>
      <c r="AC172" t="str">
        <f>VLOOKUP(Y172,'впр данные'!A:B,2,1)</f>
        <v>РГП, страт-п-с-26-09</v>
      </c>
      <c r="AD172" t="str">
        <f>VLOOKUP(Y172,'впр данные'!A:C,3,1)</f>
        <v>РГП</v>
      </c>
    </row>
    <row r="173" spans="1:30" hidden="1" x14ac:dyDescent="0.3">
      <c r="A173">
        <v>164</v>
      </c>
      <c r="B173" t="s">
        <v>27</v>
      </c>
      <c r="C173" t="s">
        <v>28</v>
      </c>
      <c r="D173" t="s">
        <v>29</v>
      </c>
      <c r="G173" t="s">
        <v>30</v>
      </c>
      <c r="H173" t="s">
        <v>605</v>
      </c>
      <c r="I173" t="s">
        <v>185</v>
      </c>
      <c r="J173" t="s">
        <v>186</v>
      </c>
      <c r="L173" t="s">
        <v>34</v>
      </c>
      <c r="M173" t="s">
        <v>35</v>
      </c>
      <c r="N173" t="s">
        <v>36</v>
      </c>
      <c r="P173" t="s">
        <v>606</v>
      </c>
      <c r="R173" t="s">
        <v>525</v>
      </c>
      <c r="S173" t="s">
        <v>526</v>
      </c>
      <c r="V173" t="s">
        <v>36</v>
      </c>
      <c r="W173" t="s">
        <v>36</v>
      </c>
      <c r="Y173" t="s">
        <v>558</v>
      </c>
      <c r="AA173" t="s">
        <v>607</v>
      </c>
      <c r="AB173" s="16" t="s">
        <v>898</v>
      </c>
      <c r="AC173" t="str">
        <f>VLOOKUP(Y173,'впр данные'!A:B,2,1)</f>
        <v>РГП, страт-п-с-26-09</v>
      </c>
      <c r="AD173" t="str">
        <f>VLOOKUP(Y173,'впр данные'!A:C,3,1)</f>
        <v>РГП</v>
      </c>
    </row>
    <row r="174" spans="1:30" hidden="1" x14ac:dyDescent="0.3">
      <c r="A174">
        <v>163</v>
      </c>
      <c r="B174" t="s">
        <v>27</v>
      </c>
      <c r="C174" t="s">
        <v>28</v>
      </c>
      <c r="D174" t="s">
        <v>29</v>
      </c>
      <c r="G174" t="s">
        <v>30</v>
      </c>
      <c r="H174" t="s">
        <v>608</v>
      </c>
      <c r="I174" t="s">
        <v>185</v>
      </c>
      <c r="J174" t="s">
        <v>186</v>
      </c>
      <c r="L174" t="s">
        <v>34</v>
      </c>
      <c r="M174" t="s">
        <v>35</v>
      </c>
      <c r="N174" t="s">
        <v>36</v>
      </c>
      <c r="P174" t="s">
        <v>609</v>
      </c>
      <c r="R174" t="s">
        <v>525</v>
      </c>
      <c r="S174" t="s">
        <v>526</v>
      </c>
      <c r="V174" t="s">
        <v>36</v>
      </c>
      <c r="W174" t="s">
        <v>36</v>
      </c>
      <c r="Y174" t="s">
        <v>558</v>
      </c>
      <c r="AA174" t="s">
        <v>610</v>
      </c>
      <c r="AB174" s="16" t="s">
        <v>898</v>
      </c>
      <c r="AC174" t="str">
        <f>VLOOKUP(Y174,'впр данные'!A:B,2,1)</f>
        <v>РГП, страт-п-с-26-09</v>
      </c>
      <c r="AD174" t="str">
        <f>VLOOKUP(Y174,'впр данные'!A:C,3,1)</f>
        <v>РГП</v>
      </c>
    </row>
    <row r="175" spans="1:30" hidden="1" x14ac:dyDescent="0.3">
      <c r="A175">
        <v>162</v>
      </c>
      <c r="B175" t="s">
        <v>27</v>
      </c>
      <c r="C175" t="s">
        <v>28</v>
      </c>
      <c r="D175" t="s">
        <v>29</v>
      </c>
      <c r="G175" t="s">
        <v>30</v>
      </c>
      <c r="H175" t="s">
        <v>611</v>
      </c>
      <c r="I175" t="s">
        <v>164</v>
      </c>
      <c r="J175" t="s">
        <v>340</v>
      </c>
      <c r="L175" t="s">
        <v>34</v>
      </c>
      <c r="M175" t="s">
        <v>35</v>
      </c>
      <c r="N175" t="s">
        <v>36</v>
      </c>
      <c r="P175" t="s">
        <v>612</v>
      </c>
      <c r="R175" t="s">
        <v>525</v>
      </c>
      <c r="S175" t="s">
        <v>526</v>
      </c>
      <c r="V175" t="s">
        <v>36</v>
      </c>
      <c r="W175" t="s">
        <v>36</v>
      </c>
      <c r="Y175" t="s">
        <v>558</v>
      </c>
      <c r="AA175" t="s">
        <v>613</v>
      </c>
      <c r="AB175" s="16" t="s">
        <v>898</v>
      </c>
      <c r="AC175" t="str">
        <f>VLOOKUP(Y175,'впр данные'!A:B,2,1)</f>
        <v>РГП, страт-п-с-26-09</v>
      </c>
      <c r="AD175" t="str">
        <f>VLOOKUP(Y175,'впр данные'!A:C,3,1)</f>
        <v>РГП</v>
      </c>
    </row>
    <row r="176" spans="1:30" hidden="1" x14ac:dyDescent="0.3">
      <c r="A176">
        <v>161</v>
      </c>
      <c r="B176" t="s">
        <v>27</v>
      </c>
      <c r="C176" t="s">
        <v>28</v>
      </c>
      <c r="D176" t="s">
        <v>29</v>
      </c>
      <c r="G176" t="s">
        <v>30</v>
      </c>
      <c r="H176" t="s">
        <v>614</v>
      </c>
      <c r="I176" t="s">
        <v>164</v>
      </c>
      <c r="J176" t="s">
        <v>340</v>
      </c>
      <c r="L176" t="s">
        <v>34</v>
      </c>
      <c r="M176" t="s">
        <v>35</v>
      </c>
      <c r="N176" t="s">
        <v>36</v>
      </c>
      <c r="P176" t="s">
        <v>615</v>
      </c>
      <c r="R176" t="s">
        <v>525</v>
      </c>
      <c r="S176" t="s">
        <v>526</v>
      </c>
      <c r="V176" t="s">
        <v>36</v>
      </c>
      <c r="W176" t="s">
        <v>36</v>
      </c>
      <c r="Y176" t="s">
        <v>558</v>
      </c>
      <c r="AA176" t="s">
        <v>616</v>
      </c>
      <c r="AB176" s="16" t="s">
        <v>898</v>
      </c>
      <c r="AC176" t="str">
        <f>VLOOKUP(Y176,'впр данные'!A:B,2,1)</f>
        <v>РГП, страт-п-с-26-09</v>
      </c>
      <c r="AD176" t="str">
        <f>VLOOKUP(Y176,'впр данные'!A:C,3,1)</f>
        <v>РГП</v>
      </c>
    </row>
    <row r="177" spans="1:30" hidden="1" x14ac:dyDescent="0.3">
      <c r="A177">
        <v>160</v>
      </c>
      <c r="B177" t="s">
        <v>27</v>
      </c>
      <c r="C177" t="s">
        <v>28</v>
      </c>
      <c r="D177" t="s">
        <v>29</v>
      </c>
      <c r="G177" t="s">
        <v>30</v>
      </c>
      <c r="H177" t="s">
        <v>617</v>
      </c>
      <c r="I177" t="s">
        <v>164</v>
      </c>
      <c r="J177" t="s">
        <v>340</v>
      </c>
      <c r="L177" t="s">
        <v>34</v>
      </c>
      <c r="M177" t="s">
        <v>35</v>
      </c>
      <c r="N177" t="s">
        <v>36</v>
      </c>
      <c r="P177" t="s">
        <v>618</v>
      </c>
      <c r="R177" t="s">
        <v>525</v>
      </c>
      <c r="S177" t="s">
        <v>526</v>
      </c>
      <c r="V177" t="s">
        <v>36</v>
      </c>
      <c r="W177" t="s">
        <v>36</v>
      </c>
      <c r="Y177" t="s">
        <v>558</v>
      </c>
      <c r="AA177" t="s">
        <v>619</v>
      </c>
      <c r="AB177" s="16" t="s">
        <v>898</v>
      </c>
      <c r="AC177" t="str">
        <f>VLOOKUP(Y177,'впр данные'!A:B,2,1)</f>
        <v>РГП, страт-п-с-26-09</v>
      </c>
      <c r="AD177" t="str">
        <f>VLOOKUP(Y177,'впр данные'!A:C,3,1)</f>
        <v>РГП</v>
      </c>
    </row>
    <row r="178" spans="1:30" hidden="1" x14ac:dyDescent="0.3">
      <c r="A178">
        <v>159</v>
      </c>
      <c r="B178" t="s">
        <v>27</v>
      </c>
      <c r="C178" t="s">
        <v>28</v>
      </c>
      <c r="D178" t="s">
        <v>29</v>
      </c>
      <c r="G178" t="s">
        <v>30</v>
      </c>
      <c r="H178" t="s">
        <v>620</v>
      </c>
      <c r="I178" t="s">
        <v>132</v>
      </c>
      <c r="J178" t="s">
        <v>133</v>
      </c>
      <c r="L178" t="s">
        <v>34</v>
      </c>
      <c r="M178" t="s">
        <v>35</v>
      </c>
      <c r="N178" t="s">
        <v>36</v>
      </c>
      <c r="P178" t="s">
        <v>621</v>
      </c>
      <c r="R178" t="s">
        <v>525</v>
      </c>
      <c r="S178" t="s">
        <v>526</v>
      </c>
      <c r="V178" t="s">
        <v>36</v>
      </c>
      <c r="W178" t="s">
        <v>36</v>
      </c>
      <c r="Y178" t="s">
        <v>558</v>
      </c>
      <c r="AA178" t="s">
        <v>622</v>
      </c>
      <c r="AB178" s="16" t="s">
        <v>898</v>
      </c>
      <c r="AC178" t="str">
        <f>VLOOKUP(Y178,'впр данные'!A:B,2,1)</f>
        <v>РГП, страт-п-с-26-09</v>
      </c>
      <c r="AD178" t="str">
        <f>VLOOKUP(Y178,'впр данные'!A:C,3,1)</f>
        <v>РГП</v>
      </c>
    </row>
    <row r="179" spans="1:30" hidden="1" x14ac:dyDescent="0.3">
      <c r="A179">
        <v>158</v>
      </c>
      <c r="B179" t="s">
        <v>27</v>
      </c>
      <c r="C179" t="s">
        <v>28</v>
      </c>
      <c r="D179" t="s">
        <v>29</v>
      </c>
      <c r="G179" t="s">
        <v>30</v>
      </c>
      <c r="H179" t="s">
        <v>623</v>
      </c>
      <c r="I179" t="s">
        <v>132</v>
      </c>
      <c r="J179" t="s">
        <v>133</v>
      </c>
      <c r="L179" t="s">
        <v>34</v>
      </c>
      <c r="M179" t="s">
        <v>35</v>
      </c>
      <c r="N179" t="s">
        <v>36</v>
      </c>
      <c r="P179" t="s">
        <v>624</v>
      </c>
      <c r="R179" t="s">
        <v>525</v>
      </c>
      <c r="S179" t="s">
        <v>526</v>
      </c>
      <c r="V179" t="s">
        <v>36</v>
      </c>
      <c r="W179" t="s">
        <v>36</v>
      </c>
      <c r="Y179" t="s">
        <v>558</v>
      </c>
      <c r="AA179" t="s">
        <v>625</v>
      </c>
      <c r="AB179" s="16" t="s">
        <v>898</v>
      </c>
      <c r="AC179" t="str">
        <f>VLOOKUP(Y179,'впр данные'!A:B,2,1)</f>
        <v>РГП, страт-п-с-26-09</v>
      </c>
      <c r="AD179" t="str">
        <f>VLOOKUP(Y179,'впр данные'!A:C,3,1)</f>
        <v>РГП</v>
      </c>
    </row>
    <row r="180" spans="1:30" hidden="1" x14ac:dyDescent="0.3">
      <c r="A180">
        <v>157</v>
      </c>
      <c r="B180" t="s">
        <v>27</v>
      </c>
      <c r="C180" t="s">
        <v>28</v>
      </c>
      <c r="D180" t="s">
        <v>29</v>
      </c>
      <c r="G180" t="s">
        <v>30</v>
      </c>
      <c r="H180" t="s">
        <v>626</v>
      </c>
      <c r="I180" t="s">
        <v>132</v>
      </c>
      <c r="J180" t="s">
        <v>133</v>
      </c>
      <c r="L180" t="s">
        <v>34</v>
      </c>
      <c r="M180" t="s">
        <v>35</v>
      </c>
      <c r="N180" t="s">
        <v>36</v>
      </c>
      <c r="P180" t="s">
        <v>627</v>
      </c>
      <c r="R180" t="s">
        <v>525</v>
      </c>
      <c r="S180" t="s">
        <v>526</v>
      </c>
      <c r="V180" t="s">
        <v>36</v>
      </c>
      <c r="W180" t="s">
        <v>36</v>
      </c>
      <c r="Y180" t="s">
        <v>558</v>
      </c>
      <c r="AA180" t="s">
        <v>628</v>
      </c>
      <c r="AB180" s="16" t="s">
        <v>898</v>
      </c>
      <c r="AC180" t="str">
        <f>VLOOKUP(Y180,'впр данные'!A:B,2,1)</f>
        <v>РГП, страт-п-с-26-09</v>
      </c>
      <c r="AD180" t="str">
        <f>VLOOKUP(Y180,'впр данные'!A:C,3,1)</f>
        <v>РГП</v>
      </c>
    </row>
    <row r="181" spans="1:30" hidden="1" x14ac:dyDescent="0.3">
      <c r="A181">
        <v>156</v>
      </c>
      <c r="B181" t="s">
        <v>27</v>
      </c>
      <c r="C181" t="s">
        <v>28</v>
      </c>
      <c r="D181" t="s">
        <v>29</v>
      </c>
      <c r="G181" t="s">
        <v>30</v>
      </c>
      <c r="H181" t="s">
        <v>629</v>
      </c>
      <c r="I181" t="s">
        <v>93</v>
      </c>
      <c r="J181" t="s">
        <v>94</v>
      </c>
      <c r="L181" t="s">
        <v>34</v>
      </c>
      <c r="M181" t="s">
        <v>35</v>
      </c>
      <c r="N181" t="s">
        <v>36</v>
      </c>
      <c r="P181" t="s">
        <v>630</v>
      </c>
      <c r="R181" t="s">
        <v>525</v>
      </c>
      <c r="S181" t="s">
        <v>526</v>
      </c>
      <c r="V181" t="s">
        <v>36</v>
      </c>
      <c r="W181" t="s">
        <v>36</v>
      </c>
      <c r="Y181" t="s">
        <v>558</v>
      </c>
      <c r="AA181" t="s">
        <v>631</v>
      </c>
      <c r="AB181" s="16" t="s">
        <v>898</v>
      </c>
      <c r="AC181" t="str">
        <f>VLOOKUP(Y181,'впр данные'!A:B,2,1)</f>
        <v>РГП, страт-п-с-26-09</v>
      </c>
      <c r="AD181" t="str">
        <f>VLOOKUP(Y181,'впр данные'!A:C,3,1)</f>
        <v>РГП</v>
      </c>
    </row>
    <row r="182" spans="1:30" hidden="1" x14ac:dyDescent="0.3">
      <c r="A182">
        <v>155</v>
      </c>
      <c r="B182" t="s">
        <v>27</v>
      </c>
      <c r="C182" t="s">
        <v>28</v>
      </c>
      <c r="D182" t="s">
        <v>29</v>
      </c>
      <c r="G182" t="s">
        <v>30</v>
      </c>
      <c r="H182" t="s">
        <v>632</v>
      </c>
      <c r="I182" t="s">
        <v>93</v>
      </c>
      <c r="J182" t="s">
        <v>94</v>
      </c>
      <c r="L182" t="s">
        <v>34</v>
      </c>
      <c r="M182" t="s">
        <v>35</v>
      </c>
      <c r="N182" t="s">
        <v>36</v>
      </c>
      <c r="P182" t="s">
        <v>633</v>
      </c>
      <c r="R182" t="s">
        <v>525</v>
      </c>
      <c r="S182" t="s">
        <v>526</v>
      </c>
      <c r="V182" t="s">
        <v>36</v>
      </c>
      <c r="W182" t="s">
        <v>36</v>
      </c>
      <c r="Y182" t="s">
        <v>558</v>
      </c>
      <c r="AA182" t="s">
        <v>634</v>
      </c>
      <c r="AB182" s="16" t="s">
        <v>898</v>
      </c>
      <c r="AC182" t="str">
        <f>VLOOKUP(Y182,'впр данные'!A:B,2,1)</f>
        <v>РГП, страт-п-с-26-09</v>
      </c>
      <c r="AD182" t="str">
        <f>VLOOKUP(Y182,'впр данные'!A:C,3,1)</f>
        <v>РГП</v>
      </c>
    </row>
    <row r="183" spans="1:30" hidden="1" x14ac:dyDescent="0.3">
      <c r="A183">
        <v>154</v>
      </c>
      <c r="B183" t="s">
        <v>27</v>
      </c>
      <c r="C183" t="s">
        <v>28</v>
      </c>
      <c r="D183" t="s">
        <v>29</v>
      </c>
      <c r="G183" t="s">
        <v>30</v>
      </c>
      <c r="H183" t="s">
        <v>635</v>
      </c>
      <c r="I183" t="s">
        <v>93</v>
      </c>
      <c r="J183" t="s">
        <v>94</v>
      </c>
      <c r="L183" t="s">
        <v>34</v>
      </c>
      <c r="M183" t="s">
        <v>35</v>
      </c>
      <c r="N183" t="s">
        <v>36</v>
      </c>
      <c r="P183" t="s">
        <v>636</v>
      </c>
      <c r="R183" t="s">
        <v>525</v>
      </c>
      <c r="S183" t="s">
        <v>526</v>
      </c>
      <c r="V183" t="s">
        <v>36</v>
      </c>
      <c r="W183" t="s">
        <v>36</v>
      </c>
      <c r="Y183" t="s">
        <v>558</v>
      </c>
      <c r="AA183" t="s">
        <v>637</v>
      </c>
      <c r="AB183" s="16" t="s">
        <v>898</v>
      </c>
      <c r="AC183" t="str">
        <f>VLOOKUP(Y183,'впр данные'!A:B,2,1)</f>
        <v>РГП, страт-п-с-26-09</v>
      </c>
      <c r="AD183" t="str">
        <f>VLOOKUP(Y183,'впр данные'!A:C,3,1)</f>
        <v>РГП</v>
      </c>
    </row>
    <row r="184" spans="1:30" hidden="1" x14ac:dyDescent="0.3">
      <c r="A184">
        <v>153</v>
      </c>
      <c r="B184" t="s">
        <v>27</v>
      </c>
      <c r="C184" t="s">
        <v>28</v>
      </c>
      <c r="D184" t="s">
        <v>29</v>
      </c>
      <c r="G184" t="s">
        <v>30</v>
      </c>
      <c r="H184" t="s">
        <v>638</v>
      </c>
      <c r="I184" t="s">
        <v>32</v>
      </c>
      <c r="J184" t="s">
        <v>33</v>
      </c>
      <c r="L184" t="s">
        <v>34</v>
      </c>
      <c r="M184" t="s">
        <v>35</v>
      </c>
      <c r="N184" t="s">
        <v>36</v>
      </c>
      <c r="P184" t="s">
        <v>639</v>
      </c>
      <c r="R184" t="s">
        <v>525</v>
      </c>
      <c r="S184" t="s">
        <v>526</v>
      </c>
      <c r="V184" t="s">
        <v>36</v>
      </c>
      <c r="W184" t="s">
        <v>36</v>
      </c>
      <c r="Y184" t="s">
        <v>640</v>
      </c>
      <c r="AA184" t="s">
        <v>641</v>
      </c>
      <c r="AB184" s="16" t="s">
        <v>898</v>
      </c>
      <c r="AC184" t="str">
        <f>VLOOKUP(Y184,'впр данные'!A:B,2,1)</f>
        <v>РГП, страт-п-с-26-09</v>
      </c>
      <c r="AD184" t="str">
        <f>VLOOKUP(Y184,'впр данные'!A:C,3,1)</f>
        <v>РГП</v>
      </c>
    </row>
    <row r="185" spans="1:30" hidden="1" x14ac:dyDescent="0.3">
      <c r="A185">
        <v>152</v>
      </c>
      <c r="B185" t="s">
        <v>27</v>
      </c>
      <c r="C185" t="s">
        <v>28</v>
      </c>
      <c r="D185" t="s">
        <v>29</v>
      </c>
      <c r="G185" t="s">
        <v>30</v>
      </c>
      <c r="H185" t="s">
        <v>642</v>
      </c>
      <c r="I185" t="s">
        <v>32</v>
      </c>
      <c r="J185" t="s">
        <v>33</v>
      </c>
      <c r="L185" t="s">
        <v>34</v>
      </c>
      <c r="M185" t="s">
        <v>35</v>
      </c>
      <c r="N185" t="s">
        <v>36</v>
      </c>
      <c r="P185" t="s">
        <v>643</v>
      </c>
      <c r="R185" t="s">
        <v>525</v>
      </c>
      <c r="S185" t="s">
        <v>526</v>
      </c>
      <c r="V185" t="s">
        <v>36</v>
      </c>
      <c r="W185" t="s">
        <v>36</v>
      </c>
      <c r="Y185" t="s">
        <v>640</v>
      </c>
      <c r="AA185" t="s">
        <v>644</v>
      </c>
      <c r="AB185" s="16" t="s">
        <v>898</v>
      </c>
      <c r="AC185" t="str">
        <f>VLOOKUP(Y185,'впр данные'!A:B,2,1)</f>
        <v>РГП, страт-п-с-26-09</v>
      </c>
      <c r="AD185" t="str">
        <f>VLOOKUP(Y185,'впр данные'!A:C,3,1)</f>
        <v>РГП</v>
      </c>
    </row>
    <row r="186" spans="1:30" hidden="1" x14ac:dyDescent="0.3">
      <c r="A186">
        <v>151</v>
      </c>
      <c r="B186" t="s">
        <v>27</v>
      </c>
      <c r="C186" t="s">
        <v>28</v>
      </c>
      <c r="D186" t="s">
        <v>29</v>
      </c>
      <c r="G186" t="s">
        <v>30</v>
      </c>
      <c r="H186" t="s">
        <v>645</v>
      </c>
      <c r="I186" t="s">
        <v>32</v>
      </c>
      <c r="J186" t="s">
        <v>33</v>
      </c>
      <c r="L186" t="s">
        <v>34</v>
      </c>
      <c r="M186" t="s">
        <v>35</v>
      </c>
      <c r="N186" t="s">
        <v>36</v>
      </c>
      <c r="P186" t="s">
        <v>646</v>
      </c>
      <c r="R186" t="s">
        <v>525</v>
      </c>
      <c r="S186" t="s">
        <v>526</v>
      </c>
      <c r="V186" t="s">
        <v>36</v>
      </c>
      <c r="W186" t="s">
        <v>36</v>
      </c>
      <c r="Y186" t="s">
        <v>640</v>
      </c>
      <c r="AA186" t="s">
        <v>647</v>
      </c>
      <c r="AB186" s="16" t="s">
        <v>898</v>
      </c>
      <c r="AC186" t="str">
        <f>VLOOKUP(Y186,'впр данные'!A:B,2,1)</f>
        <v>РГП, страт-п-с-26-09</v>
      </c>
      <c r="AD186" t="str">
        <f>VLOOKUP(Y186,'впр данные'!A:C,3,1)</f>
        <v>РГП</v>
      </c>
    </row>
    <row r="187" spans="1:30" hidden="1" x14ac:dyDescent="0.3">
      <c r="A187">
        <v>150</v>
      </c>
      <c r="B187" t="s">
        <v>27</v>
      </c>
      <c r="C187" t="s">
        <v>28</v>
      </c>
      <c r="D187" t="s">
        <v>29</v>
      </c>
      <c r="G187" t="s">
        <v>30</v>
      </c>
      <c r="H187" t="s">
        <v>648</v>
      </c>
      <c r="I187" t="s">
        <v>32</v>
      </c>
      <c r="J187" t="s">
        <v>33</v>
      </c>
      <c r="L187" t="s">
        <v>34</v>
      </c>
      <c r="M187" t="s">
        <v>35</v>
      </c>
      <c r="N187" t="s">
        <v>36</v>
      </c>
      <c r="P187" t="s">
        <v>649</v>
      </c>
      <c r="R187" t="s">
        <v>525</v>
      </c>
      <c r="S187" t="s">
        <v>526</v>
      </c>
      <c r="V187" t="s">
        <v>36</v>
      </c>
      <c r="W187" t="s">
        <v>36</v>
      </c>
      <c r="Y187" t="s">
        <v>640</v>
      </c>
      <c r="AA187" t="s">
        <v>650</v>
      </c>
      <c r="AB187" s="16" t="s">
        <v>898</v>
      </c>
      <c r="AC187" t="str">
        <f>VLOOKUP(Y187,'впр данные'!A:B,2,1)</f>
        <v>РГП, страт-п-с-26-09</v>
      </c>
      <c r="AD187" t="str">
        <f>VLOOKUP(Y187,'впр данные'!A:C,3,1)</f>
        <v>РГП</v>
      </c>
    </row>
    <row r="188" spans="1:30" hidden="1" x14ac:dyDescent="0.3">
      <c r="A188">
        <v>149</v>
      </c>
      <c r="G188" t="s">
        <v>30</v>
      </c>
      <c r="H188" t="s">
        <v>651</v>
      </c>
      <c r="L188" t="s">
        <v>34</v>
      </c>
      <c r="M188" t="s">
        <v>35</v>
      </c>
      <c r="N188" t="s">
        <v>36</v>
      </c>
      <c r="P188" t="s">
        <v>652</v>
      </c>
      <c r="S188" t="s">
        <v>30</v>
      </c>
      <c r="V188" t="s">
        <v>36</v>
      </c>
      <c r="W188" t="s">
        <v>36</v>
      </c>
      <c r="AA188" t="s">
        <v>653</v>
      </c>
      <c r="AB188" s="16" t="s">
        <v>898</v>
      </c>
      <c r="AC188" t="e">
        <f>VLOOKUP(Y188,'впр данные'!A:B,2,1)</f>
        <v>#N/A</v>
      </c>
      <c r="AD188" t="e">
        <f>VLOOKUP(Y188,'впр данные'!A:C,3,1)</f>
        <v>#N/A</v>
      </c>
    </row>
    <row r="189" spans="1:30" hidden="1" x14ac:dyDescent="0.3">
      <c r="A189">
        <v>148</v>
      </c>
      <c r="E189" t="s">
        <v>404</v>
      </c>
      <c r="F189" t="s">
        <v>404</v>
      </c>
      <c r="G189" t="s">
        <v>30</v>
      </c>
      <c r="H189" t="s">
        <v>654</v>
      </c>
      <c r="J189" t="s">
        <v>655</v>
      </c>
      <c r="L189" t="s">
        <v>34</v>
      </c>
      <c r="M189" t="s">
        <v>35</v>
      </c>
      <c r="N189" t="s">
        <v>36</v>
      </c>
      <c r="P189" t="s">
        <v>656</v>
      </c>
      <c r="S189" t="s">
        <v>30</v>
      </c>
      <c r="V189" t="s">
        <v>36</v>
      </c>
      <c r="W189" t="s">
        <v>36</v>
      </c>
      <c r="AA189" t="s">
        <v>657</v>
      </c>
      <c r="AB189" s="16" t="s">
        <v>898</v>
      </c>
      <c r="AC189" t="e">
        <f>VLOOKUP(Y189,'впр данные'!A:B,2,1)</f>
        <v>#N/A</v>
      </c>
      <c r="AD189" t="e">
        <f>VLOOKUP(Y189,'впр данные'!A:C,3,1)</f>
        <v>#N/A</v>
      </c>
    </row>
    <row r="190" spans="1:30" hidden="1" x14ac:dyDescent="0.3">
      <c r="A190">
        <v>147</v>
      </c>
      <c r="B190" t="s">
        <v>27</v>
      </c>
      <c r="E190" t="s">
        <v>658</v>
      </c>
      <c r="F190" t="s">
        <v>658</v>
      </c>
      <c r="G190" t="s">
        <v>30</v>
      </c>
      <c r="H190" t="s">
        <v>659</v>
      </c>
      <c r="L190" t="s">
        <v>34</v>
      </c>
      <c r="M190" t="s">
        <v>35</v>
      </c>
      <c r="N190" t="s">
        <v>36</v>
      </c>
      <c r="P190" t="s">
        <v>660</v>
      </c>
      <c r="S190" t="s">
        <v>30</v>
      </c>
      <c r="V190" t="s">
        <v>36</v>
      </c>
      <c r="W190" t="s">
        <v>36</v>
      </c>
      <c r="Y190" t="s">
        <v>399</v>
      </c>
      <c r="AA190" t="s">
        <v>661</v>
      </c>
      <c r="AB190" s="16" t="s">
        <v>898</v>
      </c>
      <c r="AC190" t="str">
        <f>VLOOKUP(Y190,'впр данные'!A:B,2,1)</f>
        <v>продюсер, страт-п-с-26-09</v>
      </c>
      <c r="AD190" t="str">
        <f>VLOOKUP(Y190,'впр данные'!A:C,3,1)</f>
        <v>продюсер</v>
      </c>
    </row>
    <row r="191" spans="1:30" hidden="1" x14ac:dyDescent="0.3">
      <c r="A191">
        <v>146</v>
      </c>
      <c r="B191" t="s">
        <v>27</v>
      </c>
      <c r="E191" t="s">
        <v>658</v>
      </c>
      <c r="F191" t="s">
        <v>658</v>
      </c>
      <c r="G191" t="s">
        <v>30</v>
      </c>
      <c r="H191" t="s">
        <v>662</v>
      </c>
      <c r="L191" t="s">
        <v>34</v>
      </c>
      <c r="M191" t="s">
        <v>35</v>
      </c>
      <c r="N191" t="s">
        <v>36</v>
      </c>
      <c r="P191" t="s">
        <v>663</v>
      </c>
      <c r="S191" t="s">
        <v>30</v>
      </c>
      <c r="V191" t="s">
        <v>36</v>
      </c>
      <c r="W191" t="s">
        <v>36</v>
      </c>
      <c r="Y191" t="s">
        <v>399</v>
      </c>
      <c r="AA191" t="s">
        <v>664</v>
      </c>
      <c r="AB191" s="16" t="s">
        <v>898</v>
      </c>
      <c r="AC191" t="str">
        <f>VLOOKUP(Y191,'впр данные'!A:B,2,1)</f>
        <v>продюсер, страт-п-с-26-09</v>
      </c>
      <c r="AD191" t="str">
        <f>VLOOKUP(Y191,'впр данные'!A:C,3,1)</f>
        <v>продюсер</v>
      </c>
    </row>
    <row r="192" spans="1:30" hidden="1" x14ac:dyDescent="0.3">
      <c r="A192">
        <v>145</v>
      </c>
      <c r="B192" t="s">
        <v>27</v>
      </c>
      <c r="E192" t="s">
        <v>658</v>
      </c>
      <c r="F192" t="s">
        <v>658</v>
      </c>
      <c r="G192" t="s">
        <v>30</v>
      </c>
      <c r="H192" t="s">
        <v>665</v>
      </c>
      <c r="L192" t="s">
        <v>34</v>
      </c>
      <c r="M192" t="s">
        <v>35</v>
      </c>
      <c r="N192" t="s">
        <v>36</v>
      </c>
      <c r="P192" t="s">
        <v>666</v>
      </c>
      <c r="S192" t="s">
        <v>30</v>
      </c>
      <c r="V192" t="s">
        <v>36</v>
      </c>
      <c r="W192" t="s">
        <v>36</v>
      </c>
      <c r="Y192" t="s">
        <v>399</v>
      </c>
      <c r="AA192" t="s">
        <v>667</v>
      </c>
      <c r="AB192" s="16" t="s">
        <v>898</v>
      </c>
      <c r="AC192" t="str">
        <f>VLOOKUP(Y192,'впр данные'!A:B,2,1)</f>
        <v>продюсер, страт-п-с-26-09</v>
      </c>
      <c r="AD192" t="str">
        <f>VLOOKUP(Y192,'впр данные'!A:C,3,1)</f>
        <v>продюсер</v>
      </c>
    </row>
    <row r="193" spans="1:30" hidden="1" x14ac:dyDescent="0.3">
      <c r="A193">
        <v>144</v>
      </c>
      <c r="B193" t="s">
        <v>27</v>
      </c>
      <c r="E193" t="s">
        <v>658</v>
      </c>
      <c r="F193" t="s">
        <v>658</v>
      </c>
      <c r="G193" t="s">
        <v>30</v>
      </c>
      <c r="H193" t="s">
        <v>668</v>
      </c>
      <c r="L193" t="s">
        <v>34</v>
      </c>
      <c r="M193" t="s">
        <v>35</v>
      </c>
      <c r="N193" t="s">
        <v>36</v>
      </c>
      <c r="P193" t="s">
        <v>669</v>
      </c>
      <c r="S193" t="s">
        <v>30</v>
      </c>
      <c r="V193" t="s">
        <v>36</v>
      </c>
      <c r="W193" t="s">
        <v>36</v>
      </c>
      <c r="Y193" t="s">
        <v>399</v>
      </c>
      <c r="AA193" t="s">
        <v>670</v>
      </c>
      <c r="AB193" s="16" t="s">
        <v>898</v>
      </c>
      <c r="AC193" t="str">
        <f>VLOOKUP(Y193,'впр данные'!A:B,2,1)</f>
        <v>продюсер, страт-п-с-26-09</v>
      </c>
      <c r="AD193" t="str">
        <f>VLOOKUP(Y193,'впр данные'!A:C,3,1)</f>
        <v>продюсер</v>
      </c>
    </row>
    <row r="194" spans="1:30" hidden="1" x14ac:dyDescent="0.3">
      <c r="A194">
        <v>133</v>
      </c>
      <c r="B194" t="s">
        <v>27</v>
      </c>
      <c r="C194" t="s">
        <v>28</v>
      </c>
      <c r="D194" t="s">
        <v>29</v>
      </c>
      <c r="G194" t="s">
        <v>30</v>
      </c>
      <c r="H194" t="s">
        <v>658</v>
      </c>
      <c r="I194" t="s">
        <v>64</v>
      </c>
      <c r="J194" t="s">
        <v>427</v>
      </c>
      <c r="L194" t="s">
        <v>34</v>
      </c>
      <c r="M194" t="s">
        <v>35</v>
      </c>
      <c r="N194" t="s">
        <v>36</v>
      </c>
      <c r="P194" t="s">
        <v>671</v>
      </c>
      <c r="S194" t="s">
        <v>30</v>
      </c>
      <c r="V194" t="s">
        <v>36</v>
      </c>
      <c r="W194" t="s">
        <v>36</v>
      </c>
      <c r="Y194" t="s">
        <v>399</v>
      </c>
      <c r="AA194" t="s">
        <v>672</v>
      </c>
      <c r="AB194" s="16" t="s">
        <v>898</v>
      </c>
      <c r="AC194" t="str">
        <f>VLOOKUP(Y194,'впр данные'!A:B,2,1)</f>
        <v>продюсер, страт-п-с-26-09</v>
      </c>
      <c r="AD194" t="str">
        <f>VLOOKUP(Y194,'впр данные'!A:C,3,1)</f>
        <v>продюсер</v>
      </c>
    </row>
    <row r="195" spans="1:30" hidden="1" x14ac:dyDescent="0.3">
      <c r="A195">
        <v>128</v>
      </c>
      <c r="B195" t="s">
        <v>27</v>
      </c>
      <c r="C195" t="s">
        <v>28</v>
      </c>
      <c r="D195" t="s">
        <v>29</v>
      </c>
      <c r="G195" t="s">
        <v>30</v>
      </c>
      <c r="H195" t="s">
        <v>673</v>
      </c>
      <c r="I195" t="s">
        <v>41</v>
      </c>
      <c r="J195" t="s">
        <v>42</v>
      </c>
      <c r="L195" t="s">
        <v>34</v>
      </c>
      <c r="M195" t="s">
        <v>35</v>
      </c>
      <c r="N195" t="s">
        <v>36</v>
      </c>
      <c r="P195" t="s">
        <v>674</v>
      </c>
      <c r="S195" t="s">
        <v>30</v>
      </c>
      <c r="V195" t="s">
        <v>36</v>
      </c>
      <c r="W195" t="s">
        <v>36</v>
      </c>
      <c r="Y195" t="s">
        <v>399</v>
      </c>
      <c r="AA195" t="s">
        <v>675</v>
      </c>
      <c r="AB195" s="16" t="s">
        <v>898</v>
      </c>
      <c r="AC195" t="str">
        <f>VLOOKUP(Y195,'впр данные'!A:B,2,1)</f>
        <v>продюсер, страт-п-с-26-09</v>
      </c>
      <c r="AD195" t="str">
        <f>VLOOKUP(Y195,'впр данные'!A:C,3,1)</f>
        <v>продюсер</v>
      </c>
    </row>
    <row r="196" spans="1:30" hidden="1" x14ac:dyDescent="0.3">
      <c r="A196">
        <v>127</v>
      </c>
      <c r="B196" t="s">
        <v>27</v>
      </c>
      <c r="C196" t="s">
        <v>28</v>
      </c>
      <c r="D196" t="s">
        <v>29</v>
      </c>
      <c r="G196" t="s">
        <v>30</v>
      </c>
      <c r="H196" t="s">
        <v>676</v>
      </c>
      <c r="I196" t="s">
        <v>248</v>
      </c>
      <c r="J196" t="s">
        <v>249</v>
      </c>
      <c r="L196" t="s">
        <v>34</v>
      </c>
      <c r="M196" t="s">
        <v>35</v>
      </c>
      <c r="N196" t="s">
        <v>36</v>
      </c>
      <c r="P196" t="s">
        <v>677</v>
      </c>
      <c r="S196" t="s">
        <v>30</v>
      </c>
      <c r="V196" t="s">
        <v>36</v>
      </c>
      <c r="W196" t="s">
        <v>36</v>
      </c>
      <c r="Y196" t="s">
        <v>399</v>
      </c>
      <c r="AA196" t="s">
        <v>678</v>
      </c>
      <c r="AB196" s="16" t="s">
        <v>898</v>
      </c>
      <c r="AC196" t="str">
        <f>VLOOKUP(Y196,'впр данные'!A:B,2,1)</f>
        <v>продюсер, страт-п-с-26-09</v>
      </c>
      <c r="AD196" t="str">
        <f>VLOOKUP(Y196,'впр данные'!A:C,3,1)</f>
        <v>продюсер</v>
      </c>
    </row>
    <row r="197" spans="1:30" hidden="1" x14ac:dyDescent="0.3">
      <c r="A197">
        <v>124</v>
      </c>
      <c r="B197" t="s">
        <v>27</v>
      </c>
      <c r="C197" t="s">
        <v>28</v>
      </c>
      <c r="D197" t="s">
        <v>29</v>
      </c>
      <c r="G197" t="s">
        <v>30</v>
      </c>
      <c r="H197" t="s">
        <v>679</v>
      </c>
      <c r="I197" t="s">
        <v>243</v>
      </c>
      <c r="J197" t="s">
        <v>244</v>
      </c>
      <c r="L197" t="s">
        <v>34</v>
      </c>
      <c r="M197" t="s">
        <v>35</v>
      </c>
      <c r="N197" t="s">
        <v>36</v>
      </c>
      <c r="P197" t="s">
        <v>680</v>
      </c>
      <c r="S197" t="s">
        <v>30</v>
      </c>
      <c r="V197" t="s">
        <v>36</v>
      </c>
      <c r="W197" t="s">
        <v>36</v>
      </c>
      <c r="Y197" t="s">
        <v>681</v>
      </c>
      <c r="AA197" t="s">
        <v>682</v>
      </c>
      <c r="AB197" s="16" t="s">
        <v>898</v>
      </c>
      <c r="AC197" t="str">
        <f>VLOOKUP(Y197,'впр данные'!A:B,2,1)</f>
        <v>продюсер, страт-п-с-26-09</v>
      </c>
      <c r="AD197" t="str">
        <f>VLOOKUP(Y197,'впр данные'!A:C,3,1)</f>
        <v>продюсер</v>
      </c>
    </row>
    <row r="198" spans="1:30" hidden="1" x14ac:dyDescent="0.3">
      <c r="A198">
        <v>123</v>
      </c>
      <c r="B198" t="s">
        <v>27</v>
      </c>
      <c r="C198" t="s">
        <v>28</v>
      </c>
      <c r="D198" t="s">
        <v>29</v>
      </c>
      <c r="G198" t="s">
        <v>30</v>
      </c>
      <c r="H198" t="s">
        <v>683</v>
      </c>
      <c r="I198" t="s">
        <v>243</v>
      </c>
      <c r="J198" t="s">
        <v>244</v>
      </c>
      <c r="L198" t="s">
        <v>34</v>
      </c>
      <c r="M198" t="s">
        <v>35</v>
      </c>
      <c r="N198" t="s">
        <v>36</v>
      </c>
      <c r="P198" t="s">
        <v>684</v>
      </c>
      <c r="S198" t="s">
        <v>30</v>
      </c>
      <c r="V198" t="s">
        <v>36</v>
      </c>
      <c r="W198" t="s">
        <v>36</v>
      </c>
      <c r="Y198" t="s">
        <v>399</v>
      </c>
      <c r="AA198" t="s">
        <v>685</v>
      </c>
      <c r="AB198" s="16" t="s">
        <v>898</v>
      </c>
      <c r="AC198" t="str">
        <f>VLOOKUP(Y198,'впр данные'!A:B,2,1)</f>
        <v>продюсер, страт-п-с-26-09</v>
      </c>
      <c r="AD198" t="str">
        <f>VLOOKUP(Y198,'впр данные'!A:C,3,1)</f>
        <v>продюсер</v>
      </c>
    </row>
    <row r="199" spans="1:30" hidden="1" x14ac:dyDescent="0.3">
      <c r="A199">
        <v>122</v>
      </c>
      <c r="B199" t="s">
        <v>27</v>
      </c>
      <c r="C199" t="s">
        <v>28</v>
      </c>
      <c r="D199" t="s">
        <v>29</v>
      </c>
      <c r="G199" t="s">
        <v>30</v>
      </c>
      <c r="H199" t="s">
        <v>686</v>
      </c>
      <c r="I199" t="s">
        <v>234</v>
      </c>
      <c r="J199" t="s">
        <v>235</v>
      </c>
      <c r="L199" t="s">
        <v>34</v>
      </c>
      <c r="M199" t="s">
        <v>35</v>
      </c>
      <c r="N199" t="s">
        <v>36</v>
      </c>
      <c r="P199" t="s">
        <v>687</v>
      </c>
      <c r="S199" t="s">
        <v>30</v>
      </c>
      <c r="V199" t="s">
        <v>36</v>
      </c>
      <c r="W199" t="s">
        <v>36</v>
      </c>
      <c r="Y199" t="s">
        <v>399</v>
      </c>
      <c r="AA199" t="s">
        <v>688</v>
      </c>
      <c r="AB199" s="16" t="s">
        <v>898</v>
      </c>
      <c r="AC199" t="str">
        <f>VLOOKUP(Y199,'впр данные'!A:B,2,1)</f>
        <v>продюсер, страт-п-с-26-09</v>
      </c>
      <c r="AD199" t="str">
        <f>VLOOKUP(Y199,'впр данные'!A:C,3,1)</f>
        <v>продюсер</v>
      </c>
    </row>
    <row r="200" spans="1:30" hidden="1" x14ac:dyDescent="0.3">
      <c r="A200">
        <v>121</v>
      </c>
      <c r="B200" t="s">
        <v>27</v>
      </c>
      <c r="C200" t="s">
        <v>28</v>
      </c>
      <c r="D200" t="s">
        <v>29</v>
      </c>
      <c r="G200" t="s">
        <v>30</v>
      </c>
      <c r="H200" t="s">
        <v>689</v>
      </c>
      <c r="I200" t="s">
        <v>234</v>
      </c>
      <c r="J200" t="s">
        <v>235</v>
      </c>
      <c r="L200" t="s">
        <v>34</v>
      </c>
      <c r="M200" t="s">
        <v>35</v>
      </c>
      <c r="N200" t="s">
        <v>36</v>
      </c>
      <c r="P200" t="s">
        <v>690</v>
      </c>
      <c r="S200" t="s">
        <v>30</v>
      </c>
      <c r="V200" t="s">
        <v>36</v>
      </c>
      <c r="W200" t="s">
        <v>36</v>
      </c>
      <c r="Y200" t="s">
        <v>399</v>
      </c>
      <c r="AA200" t="s">
        <v>691</v>
      </c>
      <c r="AB200" s="16" t="s">
        <v>898</v>
      </c>
      <c r="AC200" t="str">
        <f>VLOOKUP(Y200,'впр данные'!A:B,2,1)</f>
        <v>продюсер, страт-п-с-26-09</v>
      </c>
      <c r="AD200" t="str">
        <f>VLOOKUP(Y200,'впр данные'!A:C,3,1)</f>
        <v>продюсер</v>
      </c>
    </row>
    <row r="201" spans="1:30" hidden="1" x14ac:dyDescent="0.3">
      <c r="A201">
        <v>120</v>
      </c>
      <c r="B201" t="s">
        <v>27</v>
      </c>
      <c r="C201" t="s">
        <v>28</v>
      </c>
      <c r="D201" t="s">
        <v>29</v>
      </c>
      <c r="G201" t="s">
        <v>30</v>
      </c>
      <c r="H201" t="s">
        <v>692</v>
      </c>
      <c r="I201" t="s">
        <v>234</v>
      </c>
      <c r="J201" t="s">
        <v>235</v>
      </c>
      <c r="L201" t="s">
        <v>34</v>
      </c>
      <c r="M201" t="s">
        <v>35</v>
      </c>
      <c r="N201" t="s">
        <v>36</v>
      </c>
      <c r="P201" t="s">
        <v>693</v>
      </c>
      <c r="S201" t="s">
        <v>30</v>
      </c>
      <c r="V201" t="s">
        <v>36</v>
      </c>
      <c r="W201" t="s">
        <v>36</v>
      </c>
      <c r="Y201" t="s">
        <v>399</v>
      </c>
      <c r="AA201" t="s">
        <v>694</v>
      </c>
      <c r="AB201" s="16" t="s">
        <v>898</v>
      </c>
      <c r="AC201" t="str">
        <f>VLOOKUP(Y201,'впр данные'!A:B,2,1)</f>
        <v>продюсер, страт-п-с-26-09</v>
      </c>
      <c r="AD201" t="str">
        <f>VLOOKUP(Y201,'впр данные'!A:C,3,1)</f>
        <v>продюсер</v>
      </c>
    </row>
    <row r="202" spans="1:30" hidden="1" x14ac:dyDescent="0.3">
      <c r="A202">
        <v>117</v>
      </c>
      <c r="B202" t="s">
        <v>27</v>
      </c>
      <c r="C202" t="s">
        <v>28</v>
      </c>
      <c r="D202" t="s">
        <v>29</v>
      </c>
      <c r="G202" t="s">
        <v>30</v>
      </c>
      <c r="H202" t="s">
        <v>695</v>
      </c>
      <c r="I202" t="s">
        <v>218</v>
      </c>
      <c r="J202" t="s">
        <v>219</v>
      </c>
      <c r="L202" t="s">
        <v>34</v>
      </c>
      <c r="M202" t="s">
        <v>35</v>
      </c>
      <c r="N202" t="s">
        <v>36</v>
      </c>
      <c r="P202" t="s">
        <v>696</v>
      </c>
      <c r="S202" t="s">
        <v>30</v>
      </c>
      <c r="V202" t="s">
        <v>36</v>
      </c>
      <c r="W202" t="s">
        <v>36</v>
      </c>
      <c r="Y202" t="s">
        <v>307</v>
      </c>
      <c r="AA202" t="s">
        <v>697</v>
      </c>
      <c r="AB202" s="16" t="s">
        <v>898</v>
      </c>
      <c r="AC202" t="str">
        <f>VLOOKUP(Y202,'впр данные'!A:B,2,1)</f>
        <v>продюсер, страт-п-с-26-09</v>
      </c>
      <c r="AD202" t="str">
        <f>VLOOKUP(Y202,'впр данные'!A:C,3,1)</f>
        <v>продюсер</v>
      </c>
    </row>
    <row r="203" spans="1:30" hidden="1" x14ac:dyDescent="0.3">
      <c r="A203">
        <v>113</v>
      </c>
      <c r="B203" t="s">
        <v>27</v>
      </c>
      <c r="C203" t="s">
        <v>28</v>
      </c>
      <c r="D203" t="s">
        <v>29</v>
      </c>
      <c r="G203" t="s">
        <v>30</v>
      </c>
      <c r="H203" t="s">
        <v>698</v>
      </c>
      <c r="I203" t="s">
        <v>218</v>
      </c>
      <c r="J203" t="s">
        <v>219</v>
      </c>
      <c r="L203" t="s">
        <v>34</v>
      </c>
      <c r="M203" t="s">
        <v>35</v>
      </c>
      <c r="N203" t="s">
        <v>36</v>
      </c>
      <c r="P203" t="s">
        <v>699</v>
      </c>
      <c r="S203" t="s">
        <v>30</v>
      </c>
      <c r="V203" t="s">
        <v>36</v>
      </c>
      <c r="W203" t="s">
        <v>36</v>
      </c>
      <c r="Y203" t="s">
        <v>307</v>
      </c>
      <c r="AA203" t="s">
        <v>700</v>
      </c>
      <c r="AB203" s="16" t="s">
        <v>898</v>
      </c>
      <c r="AC203" t="str">
        <f>VLOOKUP(Y203,'впр данные'!A:B,2,1)</f>
        <v>продюсер, страт-п-с-26-09</v>
      </c>
      <c r="AD203" t="str">
        <f>VLOOKUP(Y203,'впр данные'!A:C,3,1)</f>
        <v>продюсер</v>
      </c>
    </row>
    <row r="204" spans="1:30" hidden="1" x14ac:dyDescent="0.3">
      <c r="A204">
        <v>112</v>
      </c>
      <c r="B204" t="s">
        <v>27</v>
      </c>
      <c r="C204" t="s">
        <v>28</v>
      </c>
      <c r="D204" t="s">
        <v>29</v>
      </c>
      <c r="G204" t="s">
        <v>30</v>
      </c>
      <c r="H204" t="s">
        <v>701</v>
      </c>
      <c r="I204" t="s">
        <v>210</v>
      </c>
      <c r="J204" t="s">
        <v>211</v>
      </c>
      <c r="L204" t="s">
        <v>34</v>
      </c>
      <c r="M204" t="s">
        <v>35</v>
      </c>
      <c r="N204" t="s">
        <v>36</v>
      </c>
      <c r="P204" t="s">
        <v>702</v>
      </c>
      <c r="S204" t="s">
        <v>30</v>
      </c>
      <c r="V204" t="s">
        <v>36</v>
      </c>
      <c r="W204" t="s">
        <v>36</v>
      </c>
      <c r="Y204" t="s">
        <v>307</v>
      </c>
      <c r="AA204" t="s">
        <v>703</v>
      </c>
      <c r="AB204" s="16" t="s">
        <v>898</v>
      </c>
      <c r="AC204" t="str">
        <f>VLOOKUP(Y204,'впр данные'!A:B,2,1)</f>
        <v>продюсер, страт-п-с-26-09</v>
      </c>
      <c r="AD204" t="str">
        <f>VLOOKUP(Y204,'впр данные'!A:C,3,1)</f>
        <v>продюсер</v>
      </c>
    </row>
    <row r="205" spans="1:30" hidden="1" x14ac:dyDescent="0.3">
      <c r="A205">
        <v>111</v>
      </c>
      <c r="B205" t="s">
        <v>27</v>
      </c>
      <c r="C205" t="s">
        <v>28</v>
      </c>
      <c r="D205" t="s">
        <v>29</v>
      </c>
      <c r="G205" t="s">
        <v>30</v>
      </c>
      <c r="H205" t="s">
        <v>704</v>
      </c>
      <c r="I205" t="s">
        <v>210</v>
      </c>
      <c r="J205" t="s">
        <v>211</v>
      </c>
      <c r="L205" t="s">
        <v>34</v>
      </c>
      <c r="M205" t="s">
        <v>35</v>
      </c>
      <c r="N205" t="s">
        <v>36</v>
      </c>
      <c r="P205" t="s">
        <v>705</v>
      </c>
      <c r="S205" t="s">
        <v>30</v>
      </c>
      <c r="V205" t="s">
        <v>36</v>
      </c>
      <c r="W205" t="s">
        <v>36</v>
      </c>
      <c r="Y205" t="s">
        <v>307</v>
      </c>
      <c r="AA205" t="s">
        <v>706</v>
      </c>
      <c r="AB205" s="16" t="s">
        <v>898</v>
      </c>
      <c r="AC205" t="str">
        <f>VLOOKUP(Y205,'впр данные'!A:B,2,1)</f>
        <v>продюсер, страт-п-с-26-09</v>
      </c>
      <c r="AD205" t="str">
        <f>VLOOKUP(Y205,'впр данные'!A:C,3,1)</f>
        <v>продюсер</v>
      </c>
    </row>
    <row r="206" spans="1:30" hidden="1" x14ac:dyDescent="0.3">
      <c r="A206">
        <v>110</v>
      </c>
      <c r="B206" t="s">
        <v>27</v>
      </c>
      <c r="C206" t="s">
        <v>28</v>
      </c>
      <c r="D206" t="s">
        <v>29</v>
      </c>
      <c r="G206" t="s">
        <v>30</v>
      </c>
      <c r="H206" t="s">
        <v>707</v>
      </c>
      <c r="I206" t="s">
        <v>210</v>
      </c>
      <c r="J206" t="s">
        <v>211</v>
      </c>
      <c r="L206" t="s">
        <v>34</v>
      </c>
      <c r="M206" t="s">
        <v>35</v>
      </c>
      <c r="N206" t="s">
        <v>36</v>
      </c>
      <c r="P206" t="s">
        <v>708</v>
      </c>
      <c r="S206" t="s">
        <v>30</v>
      </c>
      <c r="V206" t="s">
        <v>36</v>
      </c>
      <c r="W206" t="s">
        <v>36</v>
      </c>
      <c r="Y206" t="s">
        <v>307</v>
      </c>
      <c r="AA206" t="s">
        <v>709</v>
      </c>
      <c r="AB206" s="16" t="s">
        <v>898</v>
      </c>
      <c r="AC206" t="str">
        <f>VLOOKUP(Y206,'впр данные'!A:B,2,1)</f>
        <v>продюсер, страт-п-с-26-09</v>
      </c>
      <c r="AD206" t="str">
        <f>VLOOKUP(Y206,'впр данные'!A:C,3,1)</f>
        <v>продюсер</v>
      </c>
    </row>
    <row r="207" spans="1:30" hidden="1" x14ac:dyDescent="0.3">
      <c r="A207">
        <v>109</v>
      </c>
      <c r="B207" t="s">
        <v>27</v>
      </c>
      <c r="C207" t="s">
        <v>28</v>
      </c>
      <c r="D207" t="s">
        <v>29</v>
      </c>
      <c r="G207" t="s">
        <v>30</v>
      </c>
      <c r="H207" t="s">
        <v>710</v>
      </c>
      <c r="I207" t="s">
        <v>210</v>
      </c>
      <c r="J207" t="s">
        <v>211</v>
      </c>
      <c r="L207" t="s">
        <v>34</v>
      </c>
      <c r="M207" t="s">
        <v>35</v>
      </c>
      <c r="N207" t="s">
        <v>36</v>
      </c>
      <c r="P207" t="s">
        <v>711</v>
      </c>
      <c r="S207" t="s">
        <v>30</v>
      </c>
      <c r="V207" t="s">
        <v>36</v>
      </c>
      <c r="W207" t="s">
        <v>36</v>
      </c>
      <c r="Y207" t="s">
        <v>307</v>
      </c>
      <c r="AA207" t="s">
        <v>712</v>
      </c>
      <c r="AB207" s="16" t="s">
        <v>898</v>
      </c>
      <c r="AC207" t="str">
        <f>VLOOKUP(Y207,'впр данные'!A:B,2,1)</f>
        <v>продюсер, страт-п-с-26-09</v>
      </c>
      <c r="AD207" t="str">
        <f>VLOOKUP(Y207,'впр данные'!A:C,3,1)</f>
        <v>продюсер</v>
      </c>
    </row>
    <row r="208" spans="1:30" hidden="1" x14ac:dyDescent="0.3">
      <c r="A208">
        <v>95</v>
      </c>
      <c r="B208" t="s">
        <v>27</v>
      </c>
      <c r="C208" t="s">
        <v>28</v>
      </c>
      <c r="D208" t="s">
        <v>29</v>
      </c>
      <c r="G208" t="s">
        <v>30</v>
      </c>
      <c r="H208" t="s">
        <v>713</v>
      </c>
      <c r="I208" t="s">
        <v>164</v>
      </c>
      <c r="J208" t="s">
        <v>340</v>
      </c>
      <c r="L208" t="s">
        <v>34</v>
      </c>
      <c r="M208" t="s">
        <v>35</v>
      </c>
      <c r="N208" t="s">
        <v>36</v>
      </c>
      <c r="P208" t="s">
        <v>714</v>
      </c>
      <c r="S208" t="s">
        <v>30</v>
      </c>
      <c r="V208" t="s">
        <v>36</v>
      </c>
      <c r="W208" t="s">
        <v>36</v>
      </c>
      <c r="Y208" t="s">
        <v>307</v>
      </c>
      <c r="AA208" t="s">
        <v>715</v>
      </c>
      <c r="AB208" s="16" t="s">
        <v>898</v>
      </c>
      <c r="AC208" t="str">
        <f>VLOOKUP(Y208,'впр данные'!A:B,2,1)</f>
        <v>продюсер, страт-п-с-26-09</v>
      </c>
      <c r="AD208" t="str">
        <f>VLOOKUP(Y208,'впр данные'!A:C,3,1)</f>
        <v>продюсер</v>
      </c>
    </row>
    <row r="209" spans="1:30" hidden="1" x14ac:dyDescent="0.3">
      <c r="A209">
        <v>79</v>
      </c>
      <c r="B209" t="s">
        <v>27</v>
      </c>
      <c r="C209" t="s">
        <v>28</v>
      </c>
      <c r="D209" t="s">
        <v>29</v>
      </c>
      <c r="E209" t="s">
        <v>299</v>
      </c>
      <c r="F209" t="s">
        <v>299</v>
      </c>
      <c r="G209" t="s">
        <v>30</v>
      </c>
      <c r="H209" t="s">
        <v>716</v>
      </c>
      <c r="I209" t="s">
        <v>32</v>
      </c>
      <c r="J209" t="s">
        <v>33</v>
      </c>
      <c r="L209" t="s">
        <v>34</v>
      </c>
      <c r="M209" t="s">
        <v>35</v>
      </c>
      <c r="N209" t="s">
        <v>36</v>
      </c>
      <c r="P209" t="s">
        <v>717</v>
      </c>
      <c r="S209" t="s">
        <v>30</v>
      </c>
      <c r="V209" t="s">
        <v>36</v>
      </c>
      <c r="W209" t="s">
        <v>36</v>
      </c>
      <c r="Y209" t="s">
        <v>280</v>
      </c>
      <c r="AA209" t="s">
        <v>718</v>
      </c>
      <c r="AB209" s="16" t="s">
        <v>898</v>
      </c>
      <c r="AC209" t="str">
        <f>VLOOKUP(Y209,'впр данные'!A:B,2,1)</f>
        <v>продюсер, страт-п-с-26-09</v>
      </c>
      <c r="AD209" t="str">
        <f>VLOOKUP(Y209,'впр данные'!A:C,3,1)</f>
        <v>продюсер</v>
      </c>
    </row>
    <row r="210" spans="1:30" hidden="1" x14ac:dyDescent="0.3">
      <c r="A210">
        <v>78</v>
      </c>
      <c r="B210" t="s">
        <v>27</v>
      </c>
      <c r="C210" t="s">
        <v>28</v>
      </c>
      <c r="D210" t="s">
        <v>29</v>
      </c>
      <c r="G210" t="s">
        <v>30</v>
      </c>
      <c r="H210" t="s">
        <v>291</v>
      </c>
      <c r="I210" t="s">
        <v>32</v>
      </c>
      <c r="J210" t="s">
        <v>33</v>
      </c>
      <c r="L210" t="s">
        <v>34</v>
      </c>
      <c r="M210" t="s">
        <v>35</v>
      </c>
      <c r="N210" t="s">
        <v>36</v>
      </c>
      <c r="P210" t="s">
        <v>719</v>
      </c>
      <c r="S210" t="s">
        <v>30</v>
      </c>
      <c r="V210" t="s">
        <v>36</v>
      </c>
      <c r="W210" t="s">
        <v>36</v>
      </c>
      <c r="Y210" t="s">
        <v>280</v>
      </c>
      <c r="AA210" t="s">
        <v>720</v>
      </c>
      <c r="AB210" s="16" t="s">
        <v>898</v>
      </c>
      <c r="AC210" t="str">
        <f>VLOOKUP(Y210,'впр данные'!A:B,2,1)</f>
        <v>продюсер, страт-п-с-26-09</v>
      </c>
      <c r="AD210" t="str">
        <f>VLOOKUP(Y210,'впр данные'!A:C,3,1)</f>
        <v>продюсер</v>
      </c>
    </row>
    <row r="211" spans="1:30" hidden="1" x14ac:dyDescent="0.3">
      <c r="A211">
        <v>73</v>
      </c>
      <c r="B211" t="s">
        <v>27</v>
      </c>
      <c r="C211" t="s">
        <v>28</v>
      </c>
      <c r="D211" t="s">
        <v>29</v>
      </c>
      <c r="G211" t="s">
        <v>30</v>
      </c>
      <c r="H211" t="s">
        <v>721</v>
      </c>
      <c r="I211" t="s">
        <v>41</v>
      </c>
      <c r="J211" t="s">
        <v>42</v>
      </c>
      <c r="L211" t="s">
        <v>34</v>
      </c>
      <c r="M211" t="s">
        <v>35</v>
      </c>
      <c r="N211" t="s">
        <v>36</v>
      </c>
      <c r="P211" t="s">
        <v>722</v>
      </c>
      <c r="R211" t="s">
        <v>418</v>
      </c>
      <c r="S211" t="s">
        <v>419</v>
      </c>
      <c r="V211" t="s">
        <v>36</v>
      </c>
      <c r="W211" t="s">
        <v>36</v>
      </c>
      <c r="Y211" t="s">
        <v>723</v>
      </c>
      <c r="AA211" t="s">
        <v>724</v>
      </c>
      <c r="AB211" s="16" t="s">
        <v>898</v>
      </c>
      <c r="AC211" t="str">
        <f>VLOOKUP(Y211,'впр данные'!A:B,2,1)</f>
        <v>ШП, страт-п-с-26-09</v>
      </c>
      <c r="AD211" t="str">
        <f>VLOOKUP(Y211,'впр данные'!A:C,3,1)</f>
        <v>ШП</v>
      </c>
    </row>
    <row r="212" spans="1:30" hidden="1" x14ac:dyDescent="0.3">
      <c r="A212">
        <v>72</v>
      </c>
      <c r="B212" t="s">
        <v>27</v>
      </c>
      <c r="C212" t="s">
        <v>28</v>
      </c>
      <c r="D212" t="s">
        <v>29</v>
      </c>
      <c r="G212" t="s">
        <v>30</v>
      </c>
      <c r="H212" t="s">
        <v>725</v>
      </c>
      <c r="I212" t="s">
        <v>41</v>
      </c>
      <c r="J212" t="s">
        <v>42</v>
      </c>
      <c r="L212" t="s">
        <v>34</v>
      </c>
      <c r="M212" t="s">
        <v>35</v>
      </c>
      <c r="N212" t="s">
        <v>36</v>
      </c>
      <c r="P212" t="s">
        <v>726</v>
      </c>
      <c r="R212" t="s">
        <v>418</v>
      </c>
      <c r="S212" t="s">
        <v>419</v>
      </c>
      <c r="V212" t="s">
        <v>36</v>
      </c>
      <c r="W212" t="s">
        <v>36</v>
      </c>
      <c r="Y212" t="s">
        <v>723</v>
      </c>
      <c r="AA212" t="s">
        <v>727</v>
      </c>
      <c r="AB212" s="16" t="s">
        <v>898</v>
      </c>
      <c r="AC212" t="str">
        <f>VLOOKUP(Y212,'впр данные'!A:B,2,1)</f>
        <v>ШП, страт-п-с-26-09</v>
      </c>
      <c r="AD212" t="str">
        <f>VLOOKUP(Y212,'впр данные'!A:C,3,1)</f>
        <v>ШП</v>
      </c>
    </row>
    <row r="213" spans="1:30" hidden="1" x14ac:dyDescent="0.3">
      <c r="A213">
        <v>71</v>
      </c>
      <c r="B213" t="s">
        <v>27</v>
      </c>
      <c r="C213" t="s">
        <v>28</v>
      </c>
      <c r="D213" t="s">
        <v>29</v>
      </c>
      <c r="G213" t="s">
        <v>30</v>
      </c>
      <c r="H213" t="s">
        <v>728</v>
      </c>
      <c r="I213" t="s">
        <v>243</v>
      </c>
      <c r="J213" t="s">
        <v>244</v>
      </c>
      <c r="L213" t="s">
        <v>34</v>
      </c>
      <c r="M213" t="s">
        <v>35</v>
      </c>
      <c r="N213" t="s">
        <v>36</v>
      </c>
      <c r="P213" t="s">
        <v>729</v>
      </c>
      <c r="R213" t="s">
        <v>418</v>
      </c>
      <c r="S213" t="s">
        <v>419</v>
      </c>
      <c r="V213" t="s">
        <v>36</v>
      </c>
      <c r="W213" t="s">
        <v>36</v>
      </c>
      <c r="Y213" t="s">
        <v>723</v>
      </c>
      <c r="AA213" t="s">
        <v>730</v>
      </c>
      <c r="AB213" s="16" t="s">
        <v>898</v>
      </c>
      <c r="AC213" t="str">
        <f>VLOOKUP(Y213,'впр данные'!A:B,2,1)</f>
        <v>ШП, страт-п-с-26-09</v>
      </c>
      <c r="AD213" t="str">
        <f>VLOOKUP(Y213,'впр данные'!A:C,3,1)</f>
        <v>ШП</v>
      </c>
    </row>
    <row r="214" spans="1:30" hidden="1" x14ac:dyDescent="0.3">
      <c r="A214">
        <v>70</v>
      </c>
      <c r="B214" t="s">
        <v>27</v>
      </c>
      <c r="C214" t="s">
        <v>28</v>
      </c>
      <c r="D214" t="s">
        <v>29</v>
      </c>
      <c r="G214" t="s">
        <v>30</v>
      </c>
      <c r="H214" t="s">
        <v>731</v>
      </c>
      <c r="I214" t="s">
        <v>243</v>
      </c>
      <c r="J214" t="s">
        <v>244</v>
      </c>
      <c r="L214" t="s">
        <v>34</v>
      </c>
      <c r="M214" t="s">
        <v>35</v>
      </c>
      <c r="N214" t="s">
        <v>36</v>
      </c>
      <c r="P214" t="s">
        <v>732</v>
      </c>
      <c r="R214" t="s">
        <v>418</v>
      </c>
      <c r="S214" t="s">
        <v>419</v>
      </c>
      <c r="V214" t="s">
        <v>36</v>
      </c>
      <c r="W214" t="s">
        <v>36</v>
      </c>
      <c r="Y214" t="s">
        <v>723</v>
      </c>
      <c r="AA214" t="s">
        <v>733</v>
      </c>
      <c r="AB214" s="16" t="s">
        <v>898</v>
      </c>
      <c r="AC214" t="str">
        <f>VLOOKUP(Y214,'впр данные'!A:B,2,1)</f>
        <v>ШП, страт-п-с-26-09</v>
      </c>
      <c r="AD214" t="str">
        <f>VLOOKUP(Y214,'впр данные'!A:C,3,1)</f>
        <v>ШП</v>
      </c>
    </row>
    <row r="215" spans="1:30" hidden="1" x14ac:dyDescent="0.3">
      <c r="A215">
        <v>69</v>
      </c>
      <c r="B215" t="s">
        <v>27</v>
      </c>
      <c r="C215" t="s">
        <v>28</v>
      </c>
      <c r="D215" t="s">
        <v>29</v>
      </c>
      <c r="G215" t="s">
        <v>30</v>
      </c>
      <c r="H215" t="s">
        <v>734</v>
      </c>
      <c r="I215" t="s">
        <v>243</v>
      </c>
      <c r="J215" t="s">
        <v>244</v>
      </c>
      <c r="L215" t="s">
        <v>34</v>
      </c>
      <c r="M215" t="s">
        <v>35</v>
      </c>
      <c r="N215" t="s">
        <v>36</v>
      </c>
      <c r="P215" t="s">
        <v>735</v>
      </c>
      <c r="R215" t="s">
        <v>418</v>
      </c>
      <c r="S215" t="s">
        <v>419</v>
      </c>
      <c r="V215" t="s">
        <v>36</v>
      </c>
      <c r="W215" t="s">
        <v>36</v>
      </c>
      <c r="Y215" t="s">
        <v>723</v>
      </c>
      <c r="AA215" t="s">
        <v>736</v>
      </c>
      <c r="AB215" s="16" t="s">
        <v>898</v>
      </c>
      <c r="AC215" t="str">
        <f>VLOOKUP(Y215,'впр данные'!A:B,2,1)</f>
        <v>ШП, страт-п-с-26-09</v>
      </c>
      <c r="AD215" t="str">
        <f>VLOOKUP(Y215,'впр данные'!A:C,3,1)</f>
        <v>ШП</v>
      </c>
    </row>
    <row r="216" spans="1:30" hidden="1" x14ac:dyDescent="0.3">
      <c r="A216">
        <v>68</v>
      </c>
      <c r="B216" t="s">
        <v>27</v>
      </c>
      <c r="C216" t="s">
        <v>28</v>
      </c>
      <c r="D216" t="s">
        <v>29</v>
      </c>
      <c r="G216" t="s">
        <v>30</v>
      </c>
      <c r="H216" t="s">
        <v>737</v>
      </c>
      <c r="I216" t="s">
        <v>226</v>
      </c>
      <c r="J216" t="s">
        <v>227</v>
      </c>
      <c r="L216" t="s">
        <v>34</v>
      </c>
      <c r="M216" t="s">
        <v>35</v>
      </c>
      <c r="N216" t="s">
        <v>36</v>
      </c>
      <c r="P216" t="s">
        <v>738</v>
      </c>
      <c r="R216" t="s">
        <v>418</v>
      </c>
      <c r="S216" t="s">
        <v>419</v>
      </c>
      <c r="V216" t="s">
        <v>36</v>
      </c>
      <c r="W216" t="s">
        <v>36</v>
      </c>
      <c r="Y216" t="s">
        <v>739</v>
      </c>
      <c r="AA216" t="s">
        <v>740</v>
      </c>
      <c r="AB216" s="16" t="s">
        <v>898</v>
      </c>
      <c r="AC216" t="str">
        <f>VLOOKUP(Y216,'впр данные'!A:B,2,1)</f>
        <v>ШП, страт-п-с-26-09</v>
      </c>
      <c r="AD216" t="str">
        <f>VLOOKUP(Y216,'впр данные'!A:C,3,1)</f>
        <v>ШП</v>
      </c>
    </row>
    <row r="217" spans="1:30" hidden="1" x14ac:dyDescent="0.3">
      <c r="A217">
        <v>67</v>
      </c>
      <c r="B217" t="s">
        <v>27</v>
      </c>
      <c r="C217" t="s">
        <v>28</v>
      </c>
      <c r="D217" t="s">
        <v>29</v>
      </c>
      <c r="G217" t="s">
        <v>30</v>
      </c>
      <c r="H217" t="s">
        <v>741</v>
      </c>
      <c r="I217" t="s">
        <v>226</v>
      </c>
      <c r="J217" t="s">
        <v>227</v>
      </c>
      <c r="L217" t="s">
        <v>34</v>
      </c>
      <c r="M217" t="s">
        <v>35</v>
      </c>
      <c r="N217" t="s">
        <v>36</v>
      </c>
      <c r="P217" t="s">
        <v>742</v>
      </c>
      <c r="R217" t="s">
        <v>418</v>
      </c>
      <c r="S217" t="s">
        <v>419</v>
      </c>
      <c r="V217" t="s">
        <v>36</v>
      </c>
      <c r="W217" t="s">
        <v>36</v>
      </c>
      <c r="Y217" t="s">
        <v>739</v>
      </c>
      <c r="AA217" t="s">
        <v>743</v>
      </c>
      <c r="AB217" s="16" t="s">
        <v>898</v>
      </c>
      <c r="AC217" t="str">
        <f>VLOOKUP(Y217,'впр данные'!A:B,2,1)</f>
        <v>ШП, страт-п-с-26-09</v>
      </c>
      <c r="AD217" t="str">
        <f>VLOOKUP(Y217,'впр данные'!A:C,3,1)</f>
        <v>ШП</v>
      </c>
    </row>
    <row r="218" spans="1:30" hidden="1" x14ac:dyDescent="0.3">
      <c r="A218">
        <v>64</v>
      </c>
      <c r="B218" t="s">
        <v>27</v>
      </c>
      <c r="C218" t="s">
        <v>28</v>
      </c>
      <c r="D218" t="s">
        <v>29</v>
      </c>
      <c r="G218" t="s">
        <v>30</v>
      </c>
      <c r="H218" t="s">
        <v>744</v>
      </c>
      <c r="I218" t="s">
        <v>218</v>
      </c>
      <c r="J218" t="s">
        <v>219</v>
      </c>
      <c r="L218" t="s">
        <v>34</v>
      </c>
      <c r="M218" t="s">
        <v>35</v>
      </c>
      <c r="N218" t="s">
        <v>36</v>
      </c>
      <c r="P218" t="s">
        <v>745</v>
      </c>
      <c r="R218" t="s">
        <v>418</v>
      </c>
      <c r="S218" t="s">
        <v>419</v>
      </c>
      <c r="V218" t="s">
        <v>36</v>
      </c>
      <c r="W218" t="s">
        <v>36</v>
      </c>
      <c r="Y218" t="s">
        <v>739</v>
      </c>
      <c r="AA218" t="s">
        <v>746</v>
      </c>
      <c r="AB218" s="16" t="s">
        <v>898</v>
      </c>
      <c r="AC218" t="str">
        <f>VLOOKUP(Y218,'впр данные'!A:B,2,1)</f>
        <v>ШП, страт-п-с-26-09</v>
      </c>
      <c r="AD218" t="str">
        <f>VLOOKUP(Y218,'впр данные'!A:C,3,1)</f>
        <v>ШП</v>
      </c>
    </row>
    <row r="219" spans="1:30" hidden="1" x14ac:dyDescent="0.3">
      <c r="A219">
        <v>63</v>
      </c>
      <c r="B219" t="s">
        <v>27</v>
      </c>
      <c r="C219" t="s">
        <v>28</v>
      </c>
      <c r="D219" t="s">
        <v>29</v>
      </c>
      <c r="G219" t="s">
        <v>30</v>
      </c>
      <c r="H219" t="s">
        <v>747</v>
      </c>
      <c r="I219" t="s">
        <v>210</v>
      </c>
      <c r="J219" t="s">
        <v>211</v>
      </c>
      <c r="L219" t="s">
        <v>34</v>
      </c>
      <c r="M219" t="s">
        <v>35</v>
      </c>
      <c r="N219" t="s">
        <v>36</v>
      </c>
      <c r="P219" t="s">
        <v>748</v>
      </c>
      <c r="R219" t="s">
        <v>418</v>
      </c>
      <c r="S219" t="s">
        <v>419</v>
      </c>
      <c r="V219" t="s">
        <v>36</v>
      </c>
      <c r="W219" t="s">
        <v>36</v>
      </c>
      <c r="Y219" t="s">
        <v>739</v>
      </c>
      <c r="AA219" t="s">
        <v>749</v>
      </c>
      <c r="AB219" s="16" t="s">
        <v>898</v>
      </c>
      <c r="AC219" t="str">
        <f>VLOOKUP(Y219,'впр данные'!A:B,2,1)</f>
        <v>ШП, страт-п-с-26-09</v>
      </c>
      <c r="AD219" t="str">
        <f>VLOOKUP(Y219,'впр данные'!A:C,3,1)</f>
        <v>ШП</v>
      </c>
    </row>
    <row r="220" spans="1:30" hidden="1" x14ac:dyDescent="0.3">
      <c r="A220">
        <v>62</v>
      </c>
      <c r="B220" t="s">
        <v>27</v>
      </c>
      <c r="C220" t="s">
        <v>28</v>
      </c>
      <c r="D220" t="s">
        <v>29</v>
      </c>
      <c r="G220" t="s">
        <v>30</v>
      </c>
      <c r="H220" t="s">
        <v>750</v>
      </c>
      <c r="I220" t="s">
        <v>210</v>
      </c>
      <c r="J220" t="s">
        <v>211</v>
      </c>
      <c r="L220" t="s">
        <v>34</v>
      </c>
      <c r="M220" t="s">
        <v>35</v>
      </c>
      <c r="N220" t="s">
        <v>36</v>
      </c>
      <c r="P220" t="s">
        <v>751</v>
      </c>
      <c r="R220" t="s">
        <v>418</v>
      </c>
      <c r="S220" t="s">
        <v>419</v>
      </c>
      <c r="V220" t="s">
        <v>36</v>
      </c>
      <c r="W220" t="s">
        <v>36</v>
      </c>
      <c r="Y220" t="s">
        <v>739</v>
      </c>
      <c r="AA220" t="s">
        <v>752</v>
      </c>
      <c r="AB220" s="16" t="s">
        <v>898</v>
      </c>
      <c r="AC220" t="str">
        <f>VLOOKUP(Y220,'впр данные'!A:B,2,1)</f>
        <v>ШП, страт-п-с-26-09</v>
      </c>
      <c r="AD220" t="str">
        <f>VLOOKUP(Y220,'впр данные'!A:C,3,1)</f>
        <v>ШП</v>
      </c>
    </row>
    <row r="221" spans="1:30" hidden="1" x14ac:dyDescent="0.3">
      <c r="A221">
        <v>61</v>
      </c>
      <c r="B221" t="s">
        <v>27</v>
      </c>
      <c r="C221" t="s">
        <v>28</v>
      </c>
      <c r="D221" t="s">
        <v>29</v>
      </c>
      <c r="G221" t="s">
        <v>30</v>
      </c>
      <c r="H221" t="s">
        <v>753</v>
      </c>
      <c r="I221" t="s">
        <v>199</v>
      </c>
      <c r="J221" t="s">
        <v>200</v>
      </c>
      <c r="L221" t="s">
        <v>34</v>
      </c>
      <c r="M221" t="s">
        <v>35</v>
      </c>
      <c r="N221" t="s">
        <v>36</v>
      </c>
      <c r="P221" t="s">
        <v>754</v>
      </c>
      <c r="R221" t="s">
        <v>418</v>
      </c>
      <c r="S221" t="s">
        <v>419</v>
      </c>
      <c r="V221" t="s">
        <v>36</v>
      </c>
      <c r="W221" t="s">
        <v>36</v>
      </c>
      <c r="Y221" t="s">
        <v>739</v>
      </c>
      <c r="AA221" t="s">
        <v>755</v>
      </c>
      <c r="AB221" s="16" t="s">
        <v>898</v>
      </c>
      <c r="AC221" t="str">
        <f>VLOOKUP(Y221,'впр данные'!A:B,2,1)</f>
        <v>ШП, страт-п-с-26-09</v>
      </c>
      <c r="AD221" t="str">
        <f>VLOOKUP(Y221,'впр данные'!A:C,3,1)</f>
        <v>ШП</v>
      </c>
    </row>
    <row r="222" spans="1:30" hidden="1" x14ac:dyDescent="0.3">
      <c r="A222">
        <v>60</v>
      </c>
      <c r="B222" t="s">
        <v>27</v>
      </c>
      <c r="C222" t="s">
        <v>28</v>
      </c>
      <c r="D222" t="s">
        <v>29</v>
      </c>
      <c r="G222" t="s">
        <v>30</v>
      </c>
      <c r="H222" t="s">
        <v>756</v>
      </c>
      <c r="I222" t="s">
        <v>185</v>
      </c>
      <c r="J222" t="s">
        <v>186</v>
      </c>
      <c r="L222" t="s">
        <v>34</v>
      </c>
      <c r="M222" t="s">
        <v>35</v>
      </c>
      <c r="N222" t="s">
        <v>36</v>
      </c>
      <c r="P222" t="s">
        <v>757</v>
      </c>
      <c r="R222" t="s">
        <v>418</v>
      </c>
      <c r="S222" t="s">
        <v>419</v>
      </c>
      <c r="V222" t="s">
        <v>36</v>
      </c>
      <c r="W222" t="s">
        <v>36</v>
      </c>
      <c r="Y222" t="s">
        <v>739</v>
      </c>
      <c r="AA222" t="s">
        <v>758</v>
      </c>
      <c r="AB222" s="16" t="s">
        <v>898</v>
      </c>
      <c r="AC222" t="str">
        <f>VLOOKUP(Y222,'впр данные'!A:B,2,1)</f>
        <v>ШП, страт-п-с-26-09</v>
      </c>
      <c r="AD222" t="str">
        <f>VLOOKUP(Y222,'впр данные'!A:C,3,1)</f>
        <v>ШП</v>
      </c>
    </row>
    <row r="223" spans="1:30" hidden="1" x14ac:dyDescent="0.3">
      <c r="A223">
        <v>59</v>
      </c>
      <c r="B223" t="s">
        <v>27</v>
      </c>
      <c r="C223" t="s">
        <v>28</v>
      </c>
      <c r="D223" t="s">
        <v>29</v>
      </c>
      <c r="G223" t="s">
        <v>30</v>
      </c>
      <c r="H223" t="s">
        <v>759</v>
      </c>
      <c r="I223" t="s">
        <v>185</v>
      </c>
      <c r="J223" t="s">
        <v>186</v>
      </c>
      <c r="L223" t="s">
        <v>34</v>
      </c>
      <c r="M223" t="s">
        <v>35</v>
      </c>
      <c r="N223" t="s">
        <v>36</v>
      </c>
      <c r="P223" t="s">
        <v>760</v>
      </c>
      <c r="R223" t="s">
        <v>418</v>
      </c>
      <c r="S223" t="s">
        <v>419</v>
      </c>
      <c r="V223" t="s">
        <v>36</v>
      </c>
      <c r="W223" t="s">
        <v>36</v>
      </c>
      <c r="Y223" t="s">
        <v>739</v>
      </c>
      <c r="AA223" t="s">
        <v>761</v>
      </c>
      <c r="AB223" s="16" t="s">
        <v>898</v>
      </c>
      <c r="AC223" t="str">
        <f>VLOOKUP(Y223,'впр данные'!A:B,2,1)</f>
        <v>ШП, страт-п-с-26-09</v>
      </c>
      <c r="AD223" t="str">
        <f>VLOOKUP(Y223,'впр данные'!A:C,3,1)</f>
        <v>ШП</v>
      </c>
    </row>
    <row r="224" spans="1:30" hidden="1" x14ac:dyDescent="0.3">
      <c r="A224">
        <v>58</v>
      </c>
      <c r="B224" t="s">
        <v>27</v>
      </c>
      <c r="C224" t="s">
        <v>28</v>
      </c>
      <c r="D224" t="s">
        <v>29</v>
      </c>
      <c r="G224" t="s">
        <v>30</v>
      </c>
      <c r="H224" t="s">
        <v>762</v>
      </c>
      <c r="I224" t="s">
        <v>164</v>
      </c>
      <c r="J224" t="s">
        <v>340</v>
      </c>
      <c r="L224" t="s">
        <v>34</v>
      </c>
      <c r="M224" t="s">
        <v>35</v>
      </c>
      <c r="N224" t="s">
        <v>36</v>
      </c>
      <c r="P224" t="s">
        <v>763</v>
      </c>
      <c r="R224" t="s">
        <v>418</v>
      </c>
      <c r="S224" t="s">
        <v>419</v>
      </c>
      <c r="V224" t="s">
        <v>36</v>
      </c>
      <c r="W224" t="s">
        <v>36</v>
      </c>
      <c r="Y224" t="s">
        <v>739</v>
      </c>
      <c r="AA224" t="s">
        <v>764</v>
      </c>
      <c r="AB224" s="16" t="s">
        <v>898</v>
      </c>
      <c r="AC224" t="str">
        <f>VLOOKUP(Y224,'впр данные'!A:B,2,1)</f>
        <v>ШП, страт-п-с-26-09</v>
      </c>
      <c r="AD224" t="str">
        <f>VLOOKUP(Y224,'впр данные'!A:C,3,1)</f>
        <v>ШП</v>
      </c>
    </row>
    <row r="225" spans="1:30" hidden="1" x14ac:dyDescent="0.3">
      <c r="A225">
        <v>57</v>
      </c>
      <c r="B225" t="s">
        <v>27</v>
      </c>
      <c r="C225" t="s">
        <v>28</v>
      </c>
      <c r="D225" t="s">
        <v>29</v>
      </c>
      <c r="G225" t="s">
        <v>30</v>
      </c>
      <c r="H225" t="s">
        <v>765</v>
      </c>
      <c r="I225" t="s">
        <v>132</v>
      </c>
      <c r="J225" t="s">
        <v>133</v>
      </c>
      <c r="L225" t="s">
        <v>34</v>
      </c>
      <c r="M225" t="s">
        <v>35</v>
      </c>
      <c r="N225" t="s">
        <v>36</v>
      </c>
      <c r="P225" t="s">
        <v>766</v>
      </c>
      <c r="R225" t="s">
        <v>418</v>
      </c>
      <c r="S225" t="s">
        <v>419</v>
      </c>
      <c r="V225" t="s">
        <v>36</v>
      </c>
      <c r="W225" t="s">
        <v>36</v>
      </c>
      <c r="Y225" t="s">
        <v>739</v>
      </c>
      <c r="AA225" t="s">
        <v>767</v>
      </c>
      <c r="AB225" s="16" t="s">
        <v>898</v>
      </c>
      <c r="AC225" t="str">
        <f>VLOOKUP(Y225,'впр данные'!A:B,2,1)</f>
        <v>ШП, страт-п-с-26-09</v>
      </c>
      <c r="AD225" t="str">
        <f>VLOOKUP(Y225,'впр данные'!A:C,3,1)</f>
        <v>ШП</v>
      </c>
    </row>
    <row r="226" spans="1:30" hidden="1" x14ac:dyDescent="0.3">
      <c r="A226">
        <v>56</v>
      </c>
      <c r="B226" t="s">
        <v>27</v>
      </c>
      <c r="C226" t="s">
        <v>28</v>
      </c>
      <c r="D226" t="s">
        <v>29</v>
      </c>
      <c r="G226" t="s">
        <v>30</v>
      </c>
      <c r="H226" t="s">
        <v>768</v>
      </c>
      <c r="I226" t="s">
        <v>132</v>
      </c>
      <c r="J226" t="s">
        <v>133</v>
      </c>
      <c r="L226" t="s">
        <v>34</v>
      </c>
      <c r="M226" t="s">
        <v>35</v>
      </c>
      <c r="N226" t="s">
        <v>36</v>
      </c>
      <c r="P226" t="s">
        <v>769</v>
      </c>
      <c r="R226" t="s">
        <v>418</v>
      </c>
      <c r="S226" t="s">
        <v>419</v>
      </c>
      <c r="V226" t="s">
        <v>36</v>
      </c>
      <c r="W226" t="s">
        <v>36</v>
      </c>
      <c r="Y226" t="s">
        <v>739</v>
      </c>
      <c r="AA226" t="s">
        <v>770</v>
      </c>
      <c r="AB226" s="16" t="s">
        <v>898</v>
      </c>
      <c r="AC226" t="str">
        <f>VLOOKUP(Y226,'впр данные'!A:B,2,1)</f>
        <v>ШП, страт-п-с-26-09</v>
      </c>
      <c r="AD226" t="str">
        <f>VLOOKUP(Y226,'впр данные'!A:C,3,1)</f>
        <v>ШП</v>
      </c>
    </row>
    <row r="227" spans="1:30" hidden="1" x14ac:dyDescent="0.3">
      <c r="A227">
        <v>55</v>
      </c>
      <c r="B227" t="s">
        <v>27</v>
      </c>
      <c r="C227" t="s">
        <v>28</v>
      </c>
      <c r="D227" t="s">
        <v>29</v>
      </c>
      <c r="G227" t="s">
        <v>30</v>
      </c>
      <c r="H227" t="s">
        <v>771</v>
      </c>
      <c r="I227" t="s">
        <v>132</v>
      </c>
      <c r="J227" t="s">
        <v>133</v>
      </c>
      <c r="L227" t="s">
        <v>34</v>
      </c>
      <c r="M227" t="s">
        <v>35</v>
      </c>
      <c r="N227" t="s">
        <v>36</v>
      </c>
      <c r="P227" t="s">
        <v>772</v>
      </c>
      <c r="R227" t="s">
        <v>418</v>
      </c>
      <c r="S227" t="s">
        <v>419</v>
      </c>
      <c r="V227" t="s">
        <v>36</v>
      </c>
      <c r="W227" t="s">
        <v>36</v>
      </c>
      <c r="Y227" t="s">
        <v>739</v>
      </c>
      <c r="AA227" t="s">
        <v>773</v>
      </c>
      <c r="AB227" s="16" t="s">
        <v>898</v>
      </c>
      <c r="AC227" t="str">
        <f>VLOOKUP(Y227,'впр данные'!A:B,2,1)</f>
        <v>ШП, страт-п-с-26-09</v>
      </c>
      <c r="AD227" t="str">
        <f>VLOOKUP(Y227,'впр данные'!A:C,3,1)</f>
        <v>ШП</v>
      </c>
    </row>
    <row r="228" spans="1:30" hidden="1" x14ac:dyDescent="0.3">
      <c r="A228">
        <v>54</v>
      </c>
      <c r="B228" t="s">
        <v>27</v>
      </c>
      <c r="C228" t="s">
        <v>28</v>
      </c>
      <c r="D228" t="s">
        <v>29</v>
      </c>
      <c r="G228" t="s">
        <v>30</v>
      </c>
      <c r="H228" t="s">
        <v>774</v>
      </c>
      <c r="I228" t="s">
        <v>132</v>
      </c>
      <c r="J228" t="s">
        <v>775</v>
      </c>
      <c r="L228" t="s">
        <v>34</v>
      </c>
      <c r="M228" t="s">
        <v>35</v>
      </c>
      <c r="N228" t="s">
        <v>36</v>
      </c>
      <c r="P228" t="s">
        <v>776</v>
      </c>
      <c r="R228" t="s">
        <v>418</v>
      </c>
      <c r="S228" t="s">
        <v>419</v>
      </c>
      <c r="V228" t="s">
        <v>36</v>
      </c>
      <c r="W228" t="s">
        <v>36</v>
      </c>
      <c r="Y228" t="s">
        <v>739</v>
      </c>
      <c r="AA228" t="s">
        <v>777</v>
      </c>
      <c r="AB228" s="16" t="s">
        <v>898</v>
      </c>
      <c r="AC228" t="str">
        <f>VLOOKUP(Y228,'впр данные'!A:B,2,1)</f>
        <v>ШП, страт-п-с-26-09</v>
      </c>
      <c r="AD228" t="str">
        <f>VLOOKUP(Y228,'впр данные'!A:C,3,1)</f>
        <v>ШП</v>
      </c>
    </row>
    <row r="229" spans="1:30" hidden="1" x14ac:dyDescent="0.3">
      <c r="A229">
        <v>53</v>
      </c>
      <c r="B229" t="s">
        <v>27</v>
      </c>
      <c r="C229" t="s">
        <v>28</v>
      </c>
      <c r="D229" t="s">
        <v>29</v>
      </c>
      <c r="G229" t="s">
        <v>30</v>
      </c>
      <c r="H229" t="s">
        <v>778</v>
      </c>
      <c r="I229" t="s">
        <v>132</v>
      </c>
      <c r="J229" t="s">
        <v>775</v>
      </c>
      <c r="L229" t="s">
        <v>34</v>
      </c>
      <c r="M229" t="s">
        <v>35</v>
      </c>
      <c r="N229" t="s">
        <v>36</v>
      </c>
      <c r="P229" t="s">
        <v>779</v>
      </c>
      <c r="R229" t="s">
        <v>418</v>
      </c>
      <c r="S229" t="s">
        <v>419</v>
      </c>
      <c r="V229" t="s">
        <v>36</v>
      </c>
      <c r="W229" t="s">
        <v>36</v>
      </c>
      <c r="Y229" t="s">
        <v>739</v>
      </c>
      <c r="AA229" t="s">
        <v>780</v>
      </c>
      <c r="AB229" s="16" t="s">
        <v>898</v>
      </c>
      <c r="AC229" t="str">
        <f>VLOOKUP(Y229,'впр данные'!A:B,2,1)</f>
        <v>ШП, страт-п-с-26-09</v>
      </c>
      <c r="AD229" t="str">
        <f>VLOOKUP(Y229,'впр данные'!A:C,3,1)</f>
        <v>ШП</v>
      </c>
    </row>
    <row r="230" spans="1:30" hidden="1" x14ac:dyDescent="0.3">
      <c r="A230">
        <v>52</v>
      </c>
      <c r="B230" t="s">
        <v>27</v>
      </c>
      <c r="C230" t="s">
        <v>28</v>
      </c>
      <c r="D230" t="s">
        <v>29</v>
      </c>
      <c r="G230" t="s">
        <v>30</v>
      </c>
      <c r="H230" t="s">
        <v>781</v>
      </c>
      <c r="I230" t="s">
        <v>93</v>
      </c>
      <c r="J230" t="s">
        <v>94</v>
      </c>
      <c r="L230" t="s">
        <v>34</v>
      </c>
      <c r="M230" t="s">
        <v>35</v>
      </c>
      <c r="N230" t="s">
        <v>36</v>
      </c>
      <c r="P230" t="s">
        <v>782</v>
      </c>
      <c r="R230" t="s">
        <v>418</v>
      </c>
      <c r="S230" t="s">
        <v>419</v>
      </c>
      <c r="V230" t="s">
        <v>36</v>
      </c>
      <c r="W230" t="s">
        <v>36</v>
      </c>
      <c r="Y230" t="s">
        <v>739</v>
      </c>
      <c r="AA230" t="s">
        <v>783</v>
      </c>
      <c r="AB230" s="16" t="s">
        <v>898</v>
      </c>
      <c r="AC230" t="str">
        <f>VLOOKUP(Y230,'впр данные'!A:B,2,1)</f>
        <v>ШП, страт-п-с-26-09</v>
      </c>
      <c r="AD230" t="str">
        <f>VLOOKUP(Y230,'впр данные'!A:C,3,1)</f>
        <v>ШП</v>
      </c>
    </row>
    <row r="231" spans="1:30" hidden="1" x14ac:dyDescent="0.3">
      <c r="A231">
        <v>51</v>
      </c>
      <c r="B231" t="s">
        <v>27</v>
      </c>
      <c r="C231" t="s">
        <v>28</v>
      </c>
      <c r="D231" t="s">
        <v>29</v>
      </c>
      <c r="G231" t="s">
        <v>30</v>
      </c>
      <c r="H231" t="s">
        <v>784</v>
      </c>
      <c r="I231" t="s">
        <v>93</v>
      </c>
      <c r="J231" t="s">
        <v>94</v>
      </c>
      <c r="L231" t="s">
        <v>34</v>
      </c>
      <c r="M231" t="s">
        <v>35</v>
      </c>
      <c r="N231" t="s">
        <v>36</v>
      </c>
      <c r="P231" t="s">
        <v>785</v>
      </c>
      <c r="R231" t="s">
        <v>418</v>
      </c>
      <c r="S231" t="s">
        <v>419</v>
      </c>
      <c r="V231" t="s">
        <v>36</v>
      </c>
      <c r="W231" t="s">
        <v>36</v>
      </c>
      <c r="Y231" t="s">
        <v>739</v>
      </c>
      <c r="AA231" t="s">
        <v>786</v>
      </c>
      <c r="AB231" s="16" t="s">
        <v>898</v>
      </c>
      <c r="AC231" t="str">
        <f>VLOOKUP(Y231,'впр данные'!A:B,2,1)</f>
        <v>ШП, страт-п-с-26-09</v>
      </c>
      <c r="AD231" t="str">
        <f>VLOOKUP(Y231,'впр данные'!A:C,3,1)</f>
        <v>ШП</v>
      </c>
    </row>
    <row r="232" spans="1:30" hidden="1" x14ac:dyDescent="0.3">
      <c r="A232">
        <v>50</v>
      </c>
      <c r="B232" t="s">
        <v>27</v>
      </c>
      <c r="C232" t="s">
        <v>28</v>
      </c>
      <c r="D232" t="s">
        <v>29</v>
      </c>
      <c r="G232" t="s">
        <v>30</v>
      </c>
      <c r="H232" t="s">
        <v>787</v>
      </c>
      <c r="I232" t="s">
        <v>93</v>
      </c>
      <c r="J232" t="s">
        <v>94</v>
      </c>
      <c r="L232" t="s">
        <v>34</v>
      </c>
      <c r="M232" t="s">
        <v>35</v>
      </c>
      <c r="N232" t="s">
        <v>36</v>
      </c>
      <c r="P232" t="s">
        <v>788</v>
      </c>
      <c r="R232" t="s">
        <v>418</v>
      </c>
      <c r="S232" t="s">
        <v>419</v>
      </c>
      <c r="V232" t="s">
        <v>36</v>
      </c>
      <c r="W232" t="s">
        <v>36</v>
      </c>
      <c r="Y232" t="s">
        <v>739</v>
      </c>
      <c r="AA232" t="s">
        <v>789</v>
      </c>
      <c r="AB232" s="16" t="s">
        <v>898</v>
      </c>
      <c r="AC232" t="str">
        <f>VLOOKUP(Y232,'впр данные'!A:B,2,1)</f>
        <v>ШП, страт-п-с-26-09</v>
      </c>
      <c r="AD232" t="str">
        <f>VLOOKUP(Y232,'впр данные'!A:C,3,1)</f>
        <v>ШП</v>
      </c>
    </row>
    <row r="233" spans="1:30" hidden="1" x14ac:dyDescent="0.3">
      <c r="A233">
        <v>48</v>
      </c>
      <c r="B233" t="s">
        <v>27</v>
      </c>
      <c r="C233" t="s">
        <v>28</v>
      </c>
      <c r="D233" t="s">
        <v>29</v>
      </c>
      <c r="G233" t="s">
        <v>30</v>
      </c>
      <c r="H233" t="s">
        <v>790</v>
      </c>
      <c r="I233" t="s">
        <v>93</v>
      </c>
      <c r="J233" t="s">
        <v>94</v>
      </c>
      <c r="L233" t="s">
        <v>34</v>
      </c>
      <c r="M233" t="s">
        <v>35</v>
      </c>
      <c r="N233" t="s">
        <v>36</v>
      </c>
      <c r="P233" t="s">
        <v>791</v>
      </c>
      <c r="R233" t="s">
        <v>418</v>
      </c>
      <c r="S233" t="s">
        <v>419</v>
      </c>
      <c r="V233" t="s">
        <v>36</v>
      </c>
      <c r="W233" t="s">
        <v>36</v>
      </c>
      <c r="Y233" t="s">
        <v>739</v>
      </c>
      <c r="AA233" t="s">
        <v>792</v>
      </c>
      <c r="AB233" s="16" t="s">
        <v>898</v>
      </c>
      <c r="AC233" t="str">
        <f>VLOOKUP(Y233,'впр данные'!A:B,2,1)</f>
        <v>ШП, страт-п-с-26-09</v>
      </c>
      <c r="AD233" t="str">
        <f>VLOOKUP(Y233,'впр данные'!A:C,3,1)</f>
        <v>ШП</v>
      </c>
    </row>
    <row r="234" spans="1:30" hidden="1" x14ac:dyDescent="0.3">
      <c r="A234">
        <v>49</v>
      </c>
      <c r="B234" t="s">
        <v>27</v>
      </c>
      <c r="C234" t="s">
        <v>28</v>
      </c>
      <c r="D234" t="s">
        <v>29</v>
      </c>
      <c r="G234" t="s">
        <v>30</v>
      </c>
      <c r="H234" t="s">
        <v>793</v>
      </c>
      <c r="I234" t="s">
        <v>93</v>
      </c>
      <c r="J234" t="s">
        <v>94</v>
      </c>
      <c r="L234" t="s">
        <v>34</v>
      </c>
      <c r="M234" t="s">
        <v>35</v>
      </c>
      <c r="N234" t="s">
        <v>36</v>
      </c>
      <c r="P234" t="s">
        <v>791</v>
      </c>
      <c r="R234" t="s">
        <v>418</v>
      </c>
      <c r="S234" t="s">
        <v>419</v>
      </c>
      <c r="V234" t="s">
        <v>36</v>
      </c>
      <c r="W234" t="s">
        <v>36</v>
      </c>
      <c r="Y234" t="s">
        <v>739</v>
      </c>
      <c r="AA234" t="s">
        <v>794</v>
      </c>
      <c r="AB234" s="16" t="s">
        <v>898</v>
      </c>
      <c r="AC234" t="str">
        <f>VLOOKUP(Y234,'впр данные'!A:B,2,1)</f>
        <v>ШП, страт-п-с-26-09</v>
      </c>
      <c r="AD234" t="str">
        <f>VLOOKUP(Y234,'впр данные'!A:C,3,1)</f>
        <v>ШП</v>
      </c>
    </row>
    <row r="235" spans="1:30" hidden="1" x14ac:dyDescent="0.3">
      <c r="A235">
        <v>47</v>
      </c>
      <c r="B235" t="s">
        <v>27</v>
      </c>
      <c r="C235" t="s">
        <v>28</v>
      </c>
      <c r="D235" t="s">
        <v>29</v>
      </c>
      <c r="G235" t="s">
        <v>30</v>
      </c>
      <c r="H235" t="s">
        <v>795</v>
      </c>
      <c r="I235" t="s">
        <v>295</v>
      </c>
      <c r="J235" t="s">
        <v>81</v>
      </c>
      <c r="L235" t="s">
        <v>34</v>
      </c>
      <c r="M235" t="s">
        <v>35</v>
      </c>
      <c r="N235" t="s">
        <v>36</v>
      </c>
      <c r="P235" t="s">
        <v>796</v>
      </c>
      <c r="R235" t="s">
        <v>418</v>
      </c>
      <c r="S235" t="s">
        <v>419</v>
      </c>
      <c r="V235" t="s">
        <v>36</v>
      </c>
      <c r="W235" t="s">
        <v>36</v>
      </c>
      <c r="Y235" t="s">
        <v>797</v>
      </c>
      <c r="AA235" t="s">
        <v>798</v>
      </c>
      <c r="AB235" s="16" t="s">
        <v>898</v>
      </c>
      <c r="AC235" t="str">
        <f>VLOOKUP(Y235,'впр данные'!A:B,2,1)</f>
        <v>ШП, страт-п-с-26-09</v>
      </c>
      <c r="AD235" t="str">
        <f>VLOOKUP(Y235,'впр данные'!A:C,3,1)</f>
        <v>ШП</v>
      </c>
    </row>
    <row r="236" spans="1:30" hidden="1" x14ac:dyDescent="0.3">
      <c r="A236">
        <v>46</v>
      </c>
      <c r="B236" t="s">
        <v>27</v>
      </c>
      <c r="C236" t="s">
        <v>28</v>
      </c>
      <c r="D236" t="s">
        <v>29</v>
      </c>
      <c r="G236" t="s">
        <v>30</v>
      </c>
      <c r="H236" t="s">
        <v>799</v>
      </c>
      <c r="J236" t="s">
        <v>81</v>
      </c>
      <c r="L236" t="s">
        <v>34</v>
      </c>
      <c r="M236" t="s">
        <v>35</v>
      </c>
      <c r="N236" t="s">
        <v>36</v>
      </c>
      <c r="P236" t="s">
        <v>800</v>
      </c>
      <c r="R236" t="s">
        <v>418</v>
      </c>
      <c r="S236" t="s">
        <v>419</v>
      </c>
      <c r="V236" t="s">
        <v>36</v>
      </c>
      <c r="W236" t="s">
        <v>36</v>
      </c>
      <c r="Y236" t="s">
        <v>797</v>
      </c>
      <c r="AA236" t="s">
        <v>801</v>
      </c>
      <c r="AB236" s="16" t="s">
        <v>898</v>
      </c>
      <c r="AC236" t="str">
        <f>VLOOKUP(Y236,'впр данные'!A:B,2,1)</f>
        <v>ШП, страт-п-с-26-09</v>
      </c>
      <c r="AD236" t="str">
        <f>VLOOKUP(Y236,'впр данные'!A:C,3,1)</f>
        <v>ШП</v>
      </c>
    </row>
    <row r="237" spans="1:30" hidden="1" x14ac:dyDescent="0.3">
      <c r="A237">
        <v>45</v>
      </c>
      <c r="B237" t="s">
        <v>27</v>
      </c>
      <c r="C237" t="s">
        <v>28</v>
      </c>
      <c r="D237" t="s">
        <v>29</v>
      </c>
      <c r="G237" t="s">
        <v>30</v>
      </c>
      <c r="H237" t="s">
        <v>802</v>
      </c>
      <c r="I237" t="s">
        <v>32</v>
      </c>
      <c r="J237" t="s">
        <v>33</v>
      </c>
      <c r="L237" t="s">
        <v>34</v>
      </c>
      <c r="M237" t="s">
        <v>35</v>
      </c>
      <c r="N237" t="s">
        <v>36</v>
      </c>
      <c r="P237" t="s">
        <v>803</v>
      </c>
      <c r="R237" t="s">
        <v>418</v>
      </c>
      <c r="S237" t="s">
        <v>419</v>
      </c>
      <c r="V237" t="s">
        <v>36</v>
      </c>
      <c r="W237" t="s">
        <v>36</v>
      </c>
      <c r="Y237" t="s">
        <v>804</v>
      </c>
      <c r="AA237" t="s">
        <v>805</v>
      </c>
      <c r="AB237" s="16" t="s">
        <v>898</v>
      </c>
      <c r="AC237" t="str">
        <f>VLOOKUP(Y237,'впр данные'!A:B,2,1)</f>
        <v>ШП, страт-п-с-26-09</v>
      </c>
      <c r="AD237" t="str">
        <f>VLOOKUP(Y237,'впр данные'!A:C,3,1)</f>
        <v>ШП</v>
      </c>
    </row>
    <row r="238" spans="1:30" hidden="1" x14ac:dyDescent="0.3">
      <c r="A238">
        <v>44</v>
      </c>
      <c r="B238" t="s">
        <v>27</v>
      </c>
      <c r="C238" t="s">
        <v>28</v>
      </c>
      <c r="D238" t="s">
        <v>29</v>
      </c>
      <c r="G238" t="s">
        <v>30</v>
      </c>
      <c r="H238" t="s">
        <v>806</v>
      </c>
      <c r="I238" t="s">
        <v>32</v>
      </c>
      <c r="J238" t="s">
        <v>33</v>
      </c>
      <c r="L238" t="s">
        <v>34</v>
      </c>
      <c r="M238" t="s">
        <v>35</v>
      </c>
      <c r="N238" t="s">
        <v>36</v>
      </c>
      <c r="P238" t="s">
        <v>807</v>
      </c>
      <c r="R238" t="s">
        <v>418</v>
      </c>
      <c r="S238" t="s">
        <v>419</v>
      </c>
      <c r="V238" t="s">
        <v>36</v>
      </c>
      <c r="W238" t="s">
        <v>36</v>
      </c>
      <c r="Y238" t="s">
        <v>804</v>
      </c>
      <c r="AA238" t="s">
        <v>808</v>
      </c>
      <c r="AB238" s="16" t="s">
        <v>898</v>
      </c>
      <c r="AC238" t="str">
        <f>VLOOKUP(Y238,'впр данные'!A:B,2,1)</f>
        <v>ШП, страт-п-с-26-09</v>
      </c>
      <c r="AD238" t="str">
        <f>VLOOKUP(Y238,'впр данные'!A:C,3,1)</f>
        <v>ШП</v>
      </c>
    </row>
    <row r="239" spans="1:30" hidden="1" x14ac:dyDescent="0.3">
      <c r="A239">
        <v>43</v>
      </c>
      <c r="B239" t="s">
        <v>27</v>
      </c>
      <c r="C239" t="s">
        <v>28</v>
      </c>
      <c r="D239" t="s">
        <v>29</v>
      </c>
      <c r="G239" t="s">
        <v>30</v>
      </c>
      <c r="H239" t="s">
        <v>809</v>
      </c>
      <c r="I239" t="s">
        <v>32</v>
      </c>
      <c r="J239" t="s">
        <v>33</v>
      </c>
      <c r="L239" t="s">
        <v>34</v>
      </c>
      <c r="M239" t="s">
        <v>35</v>
      </c>
      <c r="N239" t="s">
        <v>36</v>
      </c>
      <c r="P239" t="s">
        <v>810</v>
      </c>
      <c r="R239" t="s">
        <v>418</v>
      </c>
      <c r="S239" t="s">
        <v>419</v>
      </c>
      <c r="V239" t="s">
        <v>36</v>
      </c>
      <c r="W239" t="s">
        <v>36</v>
      </c>
      <c r="Y239" t="s">
        <v>804</v>
      </c>
      <c r="AA239" t="s">
        <v>811</v>
      </c>
      <c r="AB239" s="16" t="s">
        <v>898</v>
      </c>
      <c r="AC239" t="str">
        <f>VLOOKUP(Y239,'впр данные'!A:B,2,1)</f>
        <v>ШП, страт-п-с-26-09</v>
      </c>
      <c r="AD239" t="str">
        <f>VLOOKUP(Y239,'впр данные'!A:C,3,1)</f>
        <v>ШП</v>
      </c>
    </row>
    <row r="240" spans="1:30" hidden="1" x14ac:dyDescent="0.3">
      <c r="A240">
        <v>42</v>
      </c>
      <c r="B240" t="s">
        <v>27</v>
      </c>
      <c r="C240" t="s">
        <v>28</v>
      </c>
      <c r="D240" t="s">
        <v>29</v>
      </c>
      <c r="G240" t="s">
        <v>30</v>
      </c>
      <c r="H240" t="s">
        <v>812</v>
      </c>
      <c r="I240" t="s">
        <v>32</v>
      </c>
      <c r="J240" t="s">
        <v>33</v>
      </c>
      <c r="L240" t="s">
        <v>34</v>
      </c>
      <c r="M240" t="s">
        <v>35</v>
      </c>
      <c r="N240" t="s">
        <v>36</v>
      </c>
      <c r="P240" t="s">
        <v>813</v>
      </c>
      <c r="R240" t="s">
        <v>418</v>
      </c>
      <c r="S240" t="s">
        <v>419</v>
      </c>
      <c r="V240" t="s">
        <v>36</v>
      </c>
      <c r="W240" t="s">
        <v>36</v>
      </c>
      <c r="Y240" t="s">
        <v>804</v>
      </c>
      <c r="AA240" t="s">
        <v>814</v>
      </c>
      <c r="AB240" s="16" t="s">
        <v>898</v>
      </c>
      <c r="AC240" t="str">
        <f>VLOOKUP(Y240,'впр данные'!A:B,2,1)</f>
        <v>ШП, страт-п-с-26-09</v>
      </c>
      <c r="AD240" t="str">
        <f>VLOOKUP(Y240,'впр данные'!A:C,3,1)</f>
        <v>ШП</v>
      </c>
    </row>
    <row r="241" spans="1:30" hidden="1" x14ac:dyDescent="0.3">
      <c r="A241">
        <v>41</v>
      </c>
      <c r="B241" t="s">
        <v>27</v>
      </c>
      <c r="C241" t="s">
        <v>28</v>
      </c>
      <c r="D241" t="s">
        <v>29</v>
      </c>
      <c r="G241" t="s">
        <v>30</v>
      </c>
      <c r="H241" t="s">
        <v>815</v>
      </c>
      <c r="I241" t="s">
        <v>32</v>
      </c>
      <c r="J241" t="s">
        <v>33</v>
      </c>
      <c r="L241" t="s">
        <v>34</v>
      </c>
      <c r="M241" t="s">
        <v>35</v>
      </c>
      <c r="N241" t="s">
        <v>36</v>
      </c>
      <c r="P241" t="s">
        <v>816</v>
      </c>
      <c r="R241" t="s">
        <v>418</v>
      </c>
      <c r="S241" t="s">
        <v>419</v>
      </c>
      <c r="V241" t="s">
        <v>36</v>
      </c>
      <c r="W241" t="s">
        <v>36</v>
      </c>
      <c r="Y241" t="s">
        <v>804</v>
      </c>
      <c r="AA241" t="s">
        <v>817</v>
      </c>
      <c r="AB241" s="16" t="s">
        <v>898</v>
      </c>
      <c r="AC241" t="str">
        <f>VLOOKUP(Y241,'впр данные'!A:B,2,1)</f>
        <v>ШП, страт-п-с-26-09</v>
      </c>
      <c r="AD241" t="str">
        <f>VLOOKUP(Y241,'впр данные'!A:C,3,1)</f>
        <v>ШП</v>
      </c>
    </row>
    <row r="242" spans="1:30" hidden="1" x14ac:dyDescent="0.3">
      <c r="A242">
        <v>40</v>
      </c>
      <c r="B242" t="s">
        <v>27</v>
      </c>
      <c r="C242" t="s">
        <v>28</v>
      </c>
      <c r="D242" t="s">
        <v>29</v>
      </c>
      <c r="G242" t="s">
        <v>30</v>
      </c>
      <c r="H242" t="s">
        <v>818</v>
      </c>
      <c r="I242" t="s">
        <v>32</v>
      </c>
      <c r="J242" t="s">
        <v>33</v>
      </c>
      <c r="L242" t="s">
        <v>34</v>
      </c>
      <c r="M242" t="s">
        <v>35</v>
      </c>
      <c r="N242" t="s">
        <v>36</v>
      </c>
      <c r="P242" t="s">
        <v>819</v>
      </c>
      <c r="R242" t="s">
        <v>418</v>
      </c>
      <c r="S242" t="s">
        <v>419</v>
      </c>
      <c r="V242" t="s">
        <v>36</v>
      </c>
      <c r="W242" t="s">
        <v>36</v>
      </c>
      <c r="Y242" t="s">
        <v>804</v>
      </c>
      <c r="AA242" t="s">
        <v>820</v>
      </c>
      <c r="AB242" s="16" t="s">
        <v>898</v>
      </c>
      <c r="AC242" t="str">
        <f>VLOOKUP(Y242,'впр данные'!A:B,2,1)</f>
        <v>ШП, страт-п-с-26-09</v>
      </c>
      <c r="AD242" t="str">
        <f>VLOOKUP(Y242,'впр данные'!A:C,3,1)</f>
        <v>ШП</v>
      </c>
    </row>
    <row r="243" spans="1:30" hidden="1" x14ac:dyDescent="0.3">
      <c r="A243">
        <v>38</v>
      </c>
      <c r="B243" t="s">
        <v>27</v>
      </c>
      <c r="C243" t="s">
        <v>28</v>
      </c>
      <c r="D243" t="s">
        <v>29</v>
      </c>
      <c r="G243" t="s">
        <v>30</v>
      </c>
      <c r="H243" t="s">
        <v>821</v>
      </c>
      <c r="I243" t="s">
        <v>265</v>
      </c>
      <c r="J243" t="s">
        <v>822</v>
      </c>
      <c r="L243" t="s">
        <v>34</v>
      </c>
      <c r="M243" t="s">
        <v>35</v>
      </c>
      <c r="N243" t="s">
        <v>36</v>
      </c>
      <c r="P243" t="s">
        <v>823</v>
      </c>
      <c r="R243" t="s">
        <v>418</v>
      </c>
      <c r="S243" t="s">
        <v>419</v>
      </c>
      <c r="V243" t="s">
        <v>36</v>
      </c>
      <c r="W243" t="s">
        <v>36</v>
      </c>
      <c r="Y243" t="s">
        <v>723</v>
      </c>
      <c r="AA243" t="s">
        <v>824</v>
      </c>
      <c r="AB243" s="16" t="s">
        <v>898</v>
      </c>
      <c r="AC243" t="str">
        <f>VLOOKUP(Y243,'впр данные'!A:B,2,1)</f>
        <v>ШП, страт-п-с-26-09</v>
      </c>
      <c r="AD243" t="str">
        <f>VLOOKUP(Y243,'впр данные'!A:C,3,1)</f>
        <v>ШП</v>
      </c>
    </row>
    <row r="244" spans="1:30" hidden="1" x14ac:dyDescent="0.3">
      <c r="A244">
        <v>37</v>
      </c>
      <c r="B244" t="s">
        <v>27</v>
      </c>
      <c r="C244" t="s">
        <v>28</v>
      </c>
      <c r="D244" t="s">
        <v>29</v>
      </c>
      <c r="G244" t="s">
        <v>30</v>
      </c>
      <c r="H244" t="s">
        <v>825</v>
      </c>
      <c r="I244" t="s">
        <v>64</v>
      </c>
      <c r="J244" t="s">
        <v>65</v>
      </c>
      <c r="L244" t="s">
        <v>34</v>
      </c>
      <c r="M244" t="s">
        <v>35</v>
      </c>
      <c r="N244" t="s">
        <v>36</v>
      </c>
      <c r="P244" t="s">
        <v>826</v>
      </c>
      <c r="R244" t="s">
        <v>418</v>
      </c>
      <c r="S244" t="s">
        <v>419</v>
      </c>
      <c r="V244" t="s">
        <v>36</v>
      </c>
      <c r="W244" t="s">
        <v>36</v>
      </c>
      <c r="Y244" t="s">
        <v>723</v>
      </c>
      <c r="AA244" t="s">
        <v>827</v>
      </c>
      <c r="AB244" s="16" t="s">
        <v>898</v>
      </c>
      <c r="AC244" t="str">
        <f>VLOOKUP(Y244,'впр данные'!A:B,2,1)</f>
        <v>ШП, страт-п-с-26-09</v>
      </c>
      <c r="AD244" t="str">
        <f>VLOOKUP(Y244,'впр данные'!A:C,3,1)</f>
        <v>ШП</v>
      </c>
    </row>
    <row r="245" spans="1:30" hidden="1" x14ac:dyDescent="0.3">
      <c r="A245">
        <v>36</v>
      </c>
      <c r="B245" t="s">
        <v>27</v>
      </c>
      <c r="C245" t="s">
        <v>28</v>
      </c>
      <c r="D245" t="s">
        <v>29</v>
      </c>
      <c r="G245" t="s">
        <v>30</v>
      </c>
      <c r="H245" t="s">
        <v>828</v>
      </c>
      <c r="I245" t="s">
        <v>64</v>
      </c>
      <c r="J245" t="s">
        <v>65</v>
      </c>
      <c r="L245" t="s">
        <v>34</v>
      </c>
      <c r="M245" t="s">
        <v>35</v>
      </c>
      <c r="N245" t="s">
        <v>36</v>
      </c>
      <c r="P245" t="s">
        <v>829</v>
      </c>
      <c r="R245" t="s">
        <v>418</v>
      </c>
      <c r="S245" t="s">
        <v>419</v>
      </c>
      <c r="V245" t="s">
        <v>36</v>
      </c>
      <c r="W245" t="s">
        <v>36</v>
      </c>
      <c r="Y245" t="s">
        <v>723</v>
      </c>
      <c r="AA245" t="s">
        <v>830</v>
      </c>
      <c r="AB245" s="16" t="s">
        <v>898</v>
      </c>
      <c r="AC245" t="str">
        <f>VLOOKUP(Y245,'впр данные'!A:B,2,1)</f>
        <v>ШП, страт-п-с-26-09</v>
      </c>
      <c r="AD245" t="str">
        <f>VLOOKUP(Y245,'впр данные'!A:C,3,1)</f>
        <v>ШП</v>
      </c>
    </row>
    <row r="246" spans="1:30" x14ac:dyDescent="0.3">
      <c r="A246">
        <v>27</v>
      </c>
      <c r="G246" t="s">
        <v>30</v>
      </c>
      <c r="H246" t="s">
        <v>831</v>
      </c>
      <c r="J246" t="s">
        <v>832</v>
      </c>
      <c r="L246" t="s">
        <v>34</v>
      </c>
      <c r="M246" t="s">
        <v>35</v>
      </c>
      <c r="N246" t="s">
        <v>36</v>
      </c>
      <c r="P246" t="s">
        <v>833</v>
      </c>
      <c r="Q246">
        <v>1821</v>
      </c>
      <c r="S246" t="s">
        <v>30</v>
      </c>
      <c r="V246" t="s">
        <v>36</v>
      </c>
      <c r="W246" t="s">
        <v>36</v>
      </c>
      <c r="AA246" t="s">
        <v>834</v>
      </c>
      <c r="AB246" s="16" t="s">
        <v>898</v>
      </c>
      <c r="AC246" t="e">
        <f>VLOOKUP(Y246,'впр данные'!A:B,2,1)</f>
        <v>#N/A</v>
      </c>
      <c r="AD246" t="e">
        <f>VLOOKUP(Y246,'впр данные'!A:C,3,1)</f>
        <v>#N/A</v>
      </c>
    </row>
    <row r="247" spans="1:30" x14ac:dyDescent="0.3">
      <c r="A247">
        <v>26</v>
      </c>
      <c r="G247" t="s">
        <v>30</v>
      </c>
      <c r="H247" t="s">
        <v>835</v>
      </c>
      <c r="J247" t="s">
        <v>832</v>
      </c>
      <c r="L247" t="s">
        <v>34</v>
      </c>
      <c r="M247" t="s">
        <v>35</v>
      </c>
      <c r="N247" t="s">
        <v>36</v>
      </c>
      <c r="P247" t="s">
        <v>836</v>
      </c>
      <c r="Q247">
        <v>1820</v>
      </c>
      <c r="S247" t="s">
        <v>30</v>
      </c>
      <c r="V247" t="s">
        <v>36</v>
      </c>
      <c r="W247" t="s">
        <v>36</v>
      </c>
      <c r="AA247" t="s">
        <v>837</v>
      </c>
      <c r="AB247" s="16" t="s">
        <v>898</v>
      </c>
      <c r="AC247" t="e">
        <f>VLOOKUP(Y247,'впр данные'!A:B,2,1)</f>
        <v>#N/A</v>
      </c>
      <c r="AD247" t="e">
        <f>VLOOKUP(Y247,'впр данные'!A:C,3,1)</f>
        <v>#N/A</v>
      </c>
    </row>
  </sheetData>
  <autoFilter ref="A1:AD247" xr:uid="{00000000-0001-0000-0100-000000000000}">
    <filterColumn colId="1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A41" sqref="A41"/>
    </sheetView>
  </sheetViews>
  <sheetFormatPr defaultRowHeight="14.4" x14ac:dyDescent="0.3"/>
  <cols>
    <col min="1" max="1" width="59.6640625" customWidth="1"/>
    <col min="2" max="2" width="43" customWidth="1"/>
    <col min="3" max="3" width="35.88671875" customWidth="1"/>
  </cols>
  <sheetData>
    <row r="1" spans="1:3" x14ac:dyDescent="0.3">
      <c r="A1" s="48" t="s">
        <v>905</v>
      </c>
      <c r="B1" s="48" t="s">
        <v>907</v>
      </c>
      <c r="C1" s="48" t="s">
        <v>906</v>
      </c>
    </row>
    <row r="2" spans="1:3" x14ac:dyDescent="0.3">
      <c r="A2" s="61" t="s">
        <v>83</v>
      </c>
      <c r="B2" s="48" t="s">
        <v>900</v>
      </c>
      <c r="C2" s="48" t="s">
        <v>908</v>
      </c>
    </row>
    <row r="3" spans="1:3" x14ac:dyDescent="0.3">
      <c r="A3" s="62" t="s">
        <v>511</v>
      </c>
      <c r="B3" s="48" t="s">
        <v>901</v>
      </c>
      <c r="C3" s="48" t="s">
        <v>909</v>
      </c>
    </row>
    <row r="4" spans="1:3" x14ac:dyDescent="0.3">
      <c r="A4" s="62" t="s">
        <v>297</v>
      </c>
      <c r="B4" s="48" t="s">
        <v>902</v>
      </c>
      <c r="C4" s="48" t="s">
        <v>910</v>
      </c>
    </row>
    <row r="5" spans="1:3" x14ac:dyDescent="0.3">
      <c r="A5" s="62" t="s">
        <v>797</v>
      </c>
      <c r="B5" s="48" t="s">
        <v>904</v>
      </c>
      <c r="C5" s="48" t="s">
        <v>911</v>
      </c>
    </row>
    <row r="6" spans="1:3" x14ac:dyDescent="0.3">
      <c r="A6" s="62" t="s">
        <v>38</v>
      </c>
      <c r="B6" s="48" t="s">
        <v>900</v>
      </c>
      <c r="C6" s="48" t="s">
        <v>908</v>
      </c>
    </row>
    <row r="7" spans="1:3" x14ac:dyDescent="0.3">
      <c r="A7" s="62" t="s">
        <v>515</v>
      </c>
      <c r="B7" s="48" t="s">
        <v>901</v>
      </c>
      <c r="C7" s="48" t="s">
        <v>909</v>
      </c>
    </row>
    <row r="8" spans="1:3" x14ac:dyDescent="0.3">
      <c r="A8" s="62" t="s">
        <v>280</v>
      </c>
      <c r="B8" s="48" t="s">
        <v>902</v>
      </c>
      <c r="C8" s="48" t="s">
        <v>910</v>
      </c>
    </row>
    <row r="9" spans="1:3" x14ac:dyDescent="0.3">
      <c r="A9" s="62" t="s">
        <v>640</v>
      </c>
      <c r="B9" s="48" t="s">
        <v>903</v>
      </c>
      <c r="C9" s="48" t="s">
        <v>912</v>
      </c>
    </row>
    <row r="10" spans="1:3" x14ac:dyDescent="0.3">
      <c r="A10" s="62" t="s">
        <v>804</v>
      </c>
      <c r="B10" s="48" t="s">
        <v>904</v>
      </c>
      <c r="C10" s="48" t="s">
        <v>911</v>
      </c>
    </row>
    <row r="11" spans="1:3" x14ac:dyDescent="0.3">
      <c r="A11" s="62" t="s">
        <v>237</v>
      </c>
      <c r="B11" s="48" t="s">
        <v>900</v>
      </c>
      <c r="C11" s="48" t="s">
        <v>908</v>
      </c>
    </row>
    <row r="12" spans="1:3" x14ac:dyDescent="0.3">
      <c r="A12" s="62" t="s">
        <v>44</v>
      </c>
      <c r="B12" s="48" t="s">
        <v>901</v>
      </c>
      <c r="C12" s="48" t="s">
        <v>909</v>
      </c>
    </row>
    <row r="13" spans="1:3" x14ac:dyDescent="0.3">
      <c r="A13" s="61" t="s">
        <v>681</v>
      </c>
      <c r="B13" s="48" t="s">
        <v>902</v>
      </c>
      <c r="C13" s="48" t="s">
        <v>910</v>
      </c>
    </row>
    <row r="14" spans="1:3" x14ac:dyDescent="0.3">
      <c r="A14" s="62" t="s">
        <v>399</v>
      </c>
      <c r="B14" s="48" t="s">
        <v>902</v>
      </c>
      <c r="C14" s="48" t="s">
        <v>910</v>
      </c>
    </row>
    <row r="15" spans="1:3" x14ac:dyDescent="0.3">
      <c r="A15" s="62" t="s">
        <v>527</v>
      </c>
      <c r="B15" s="48" t="s">
        <v>903</v>
      </c>
      <c r="C15" s="48" t="s">
        <v>912</v>
      </c>
    </row>
    <row r="16" spans="1:3" x14ac:dyDescent="0.3">
      <c r="A16" s="62" t="s">
        <v>723</v>
      </c>
      <c r="B16" s="48" t="s">
        <v>904</v>
      </c>
      <c r="C16" s="48" t="s">
        <v>911</v>
      </c>
    </row>
    <row r="17" spans="1:3" x14ac:dyDescent="0.3">
      <c r="A17" s="62" t="s">
        <v>96</v>
      </c>
      <c r="B17" s="48" t="s">
        <v>900</v>
      </c>
      <c r="C17" s="48" t="s">
        <v>908</v>
      </c>
    </row>
    <row r="18" spans="1:3" x14ac:dyDescent="0.3">
      <c r="A18" s="62" t="s">
        <v>485</v>
      </c>
      <c r="B18" s="48" t="s">
        <v>901</v>
      </c>
      <c r="C18" s="48" t="s">
        <v>909</v>
      </c>
    </row>
    <row r="19" spans="1:3" x14ac:dyDescent="0.3">
      <c r="A19" s="62" t="s">
        <v>307</v>
      </c>
      <c r="B19" s="48" t="s">
        <v>902</v>
      </c>
      <c r="C19" s="48" t="s">
        <v>910</v>
      </c>
    </row>
    <row r="20" spans="1:3" x14ac:dyDescent="0.3">
      <c r="A20" s="62" t="s">
        <v>558</v>
      </c>
      <c r="B20" s="48" t="s">
        <v>903</v>
      </c>
      <c r="C20" s="48" t="s">
        <v>912</v>
      </c>
    </row>
    <row r="21" spans="1:3" x14ac:dyDescent="0.3">
      <c r="A21" s="62" t="s">
        <v>739</v>
      </c>
      <c r="B21" s="48" t="s">
        <v>904</v>
      </c>
      <c r="C21" s="48" t="s">
        <v>911</v>
      </c>
    </row>
    <row r="22" spans="1:3" x14ac:dyDescent="0.3">
      <c r="A22" s="62" t="s">
        <v>429</v>
      </c>
      <c r="B22" s="61" t="s">
        <v>917</v>
      </c>
      <c r="C22" s="48" t="s">
        <v>913</v>
      </c>
    </row>
    <row r="23" spans="1:3" x14ac:dyDescent="0.3">
      <c r="A23" s="62" t="s">
        <v>424</v>
      </c>
      <c r="B23" s="61" t="s">
        <v>918</v>
      </c>
      <c r="C23" s="48" t="s">
        <v>913</v>
      </c>
    </row>
    <row r="24" spans="1:3" x14ac:dyDescent="0.3">
      <c r="A24" s="62" t="s">
        <v>420</v>
      </c>
      <c r="B24" s="61" t="s">
        <v>919</v>
      </c>
      <c r="C24" s="48" t="s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7"/>
  <sheetViews>
    <sheetView topLeftCell="BZ1" workbookViewId="0">
      <selection activeCell="CT4" sqref="CS1:CT4"/>
    </sheetView>
  </sheetViews>
  <sheetFormatPr defaultRowHeight="14.4" x14ac:dyDescent="0.3"/>
  <cols>
    <col min="1" max="1" width="5.44140625" customWidth="1"/>
    <col min="2" max="2" width="29.5546875" customWidth="1"/>
    <col min="3" max="8" width="11.88671875" customWidth="1"/>
    <col min="9" max="9" width="10.44140625" customWidth="1"/>
    <col min="10" max="18" width="11.88671875" customWidth="1"/>
    <col min="20" max="20" width="17.5546875" customWidth="1"/>
    <col min="21" max="21" width="16.33203125" customWidth="1"/>
    <col min="22" max="22" width="8.109375" customWidth="1"/>
    <col min="24" max="24" width="7.88671875" customWidth="1"/>
    <col min="27" max="27" width="7.44140625" customWidth="1"/>
    <col min="29" max="29" width="8.6640625" customWidth="1"/>
    <col min="33" max="33" width="10.5546875" customWidth="1"/>
    <col min="37" max="37" width="12.109375" customWidth="1"/>
    <col min="39" max="39" width="21.88671875" customWidth="1"/>
    <col min="40" max="40" width="11.33203125" customWidth="1"/>
    <col min="58" max="58" width="28.33203125" customWidth="1"/>
    <col min="59" max="59" width="11.33203125" customWidth="1"/>
    <col min="75" max="75" width="13.33203125" customWidth="1"/>
    <col min="77" max="77" width="31.88671875" customWidth="1"/>
    <col min="95" max="95" width="9.109375" style="56"/>
    <col min="97" max="97" width="12.109375" customWidth="1"/>
    <col min="98" max="98" width="16.6640625" customWidth="1"/>
    <col min="100" max="100" width="12.88671875" customWidth="1"/>
    <col min="101" max="101" width="19.44140625" customWidth="1"/>
  </cols>
  <sheetData>
    <row r="1" spans="1:101" ht="31.5" customHeight="1" x14ac:dyDescent="0.3">
      <c r="B1" s="16" t="s">
        <v>944</v>
      </c>
      <c r="C1" s="47" t="s">
        <v>946</v>
      </c>
      <c r="D1" s="47" t="s">
        <v>948</v>
      </c>
      <c r="E1" s="47" t="s">
        <v>949</v>
      </c>
      <c r="F1" s="47" t="s">
        <v>950</v>
      </c>
      <c r="G1" s="47" t="s">
        <v>951</v>
      </c>
      <c r="H1" s="47" t="s">
        <v>952</v>
      </c>
      <c r="I1" s="47" t="s">
        <v>947</v>
      </c>
      <c r="J1" s="47" t="s">
        <v>953</v>
      </c>
      <c r="K1" s="47" t="s">
        <v>954</v>
      </c>
      <c r="L1" s="47" t="s">
        <v>955</v>
      </c>
      <c r="M1" s="47" t="s">
        <v>956</v>
      </c>
      <c r="N1" s="47" t="s">
        <v>957</v>
      </c>
      <c r="O1" s="47" t="s">
        <v>958</v>
      </c>
      <c r="P1" s="47" t="s">
        <v>959</v>
      </c>
      <c r="Q1" s="47" t="s">
        <v>945</v>
      </c>
      <c r="R1" s="47" t="s">
        <v>916</v>
      </c>
      <c r="T1" s="52" t="s">
        <v>924</v>
      </c>
      <c r="U1" s="45" t="s">
        <v>923</v>
      </c>
      <c r="V1" s="45" t="s">
        <v>960</v>
      </c>
      <c r="W1" s="45" t="s">
        <v>961</v>
      </c>
      <c r="X1" s="45" t="s">
        <v>962</v>
      </c>
      <c r="Y1" s="45" t="s">
        <v>963</v>
      </c>
      <c r="Z1" s="45" t="s">
        <v>964</v>
      </c>
      <c r="AA1" s="45" t="s">
        <v>965</v>
      </c>
      <c r="AB1" s="45" t="s">
        <v>966</v>
      </c>
      <c r="AC1" s="45" t="s">
        <v>967</v>
      </c>
      <c r="AD1" s="45" t="s">
        <v>968</v>
      </c>
      <c r="AE1" s="45" t="s">
        <v>969</v>
      </c>
      <c r="AF1" s="45" t="s">
        <v>970</v>
      </c>
      <c r="AG1" s="45" t="s">
        <v>971</v>
      </c>
      <c r="AH1" s="45" t="s">
        <v>972</v>
      </c>
      <c r="AI1" s="45" t="s">
        <v>973</v>
      </c>
      <c r="AJ1" s="45" t="s">
        <v>974</v>
      </c>
      <c r="AK1" s="45" t="s">
        <v>975</v>
      </c>
      <c r="AL1" s="17"/>
      <c r="AM1" s="52" t="s">
        <v>934</v>
      </c>
      <c r="AN1" s="45" t="s">
        <v>923</v>
      </c>
      <c r="AO1" s="45" t="s">
        <v>960</v>
      </c>
      <c r="AP1" s="45" t="s">
        <v>961</v>
      </c>
      <c r="AQ1" s="45" t="s">
        <v>962</v>
      </c>
      <c r="AR1" s="45" t="s">
        <v>963</v>
      </c>
      <c r="AS1" s="45" t="s">
        <v>964</v>
      </c>
      <c r="AT1" s="45" t="s">
        <v>965</v>
      </c>
      <c r="AU1" s="45" t="s">
        <v>966</v>
      </c>
      <c r="AV1" s="45" t="s">
        <v>967</v>
      </c>
      <c r="AW1" s="45" t="s">
        <v>968</v>
      </c>
      <c r="AX1" s="45" t="s">
        <v>969</v>
      </c>
      <c r="AY1" s="45" t="s">
        <v>970</v>
      </c>
      <c r="AZ1" s="45" t="s">
        <v>971</v>
      </c>
      <c r="BA1" s="45" t="s">
        <v>972</v>
      </c>
      <c r="BB1" s="45" t="s">
        <v>973</v>
      </c>
      <c r="BC1" s="45" t="s">
        <v>974</v>
      </c>
      <c r="BD1" s="45" t="s">
        <v>975</v>
      </c>
      <c r="BE1" s="17"/>
      <c r="BF1" s="45" t="s">
        <v>924</v>
      </c>
      <c r="BG1" s="45" t="s">
        <v>923</v>
      </c>
      <c r="BH1" s="45" t="s">
        <v>960</v>
      </c>
      <c r="BI1" s="45" t="s">
        <v>961</v>
      </c>
      <c r="BJ1" s="45" t="s">
        <v>962</v>
      </c>
      <c r="BK1" s="45" t="s">
        <v>963</v>
      </c>
      <c r="BL1" s="45" t="s">
        <v>964</v>
      </c>
      <c r="BM1" s="45" t="s">
        <v>965</v>
      </c>
      <c r="BN1" s="45" t="s">
        <v>966</v>
      </c>
      <c r="BO1" s="45" t="s">
        <v>967</v>
      </c>
      <c r="BP1" s="45" t="s">
        <v>968</v>
      </c>
      <c r="BQ1" s="45" t="s">
        <v>969</v>
      </c>
      <c r="BR1" s="45" t="s">
        <v>970</v>
      </c>
      <c r="BS1" s="45" t="s">
        <v>971</v>
      </c>
      <c r="BT1" s="45" t="s">
        <v>972</v>
      </c>
      <c r="BU1" s="45" t="s">
        <v>973</v>
      </c>
      <c r="BV1" s="45" t="s">
        <v>974</v>
      </c>
      <c r="BW1" s="45" t="s">
        <v>975</v>
      </c>
      <c r="BX1" s="17"/>
      <c r="BY1" s="45" t="s">
        <v>934</v>
      </c>
      <c r="BZ1" s="45" t="s">
        <v>923</v>
      </c>
      <c r="CA1" s="45" t="s">
        <v>960</v>
      </c>
      <c r="CB1" s="45" t="s">
        <v>961</v>
      </c>
      <c r="CC1" s="45" t="s">
        <v>962</v>
      </c>
      <c r="CD1" s="45" t="s">
        <v>963</v>
      </c>
      <c r="CE1" s="45" t="s">
        <v>964</v>
      </c>
      <c r="CF1" s="45" t="s">
        <v>965</v>
      </c>
      <c r="CG1" s="45" t="s">
        <v>966</v>
      </c>
      <c r="CH1" s="45" t="s">
        <v>967</v>
      </c>
      <c r="CI1" s="45" t="s">
        <v>968</v>
      </c>
      <c r="CJ1" s="45" t="s">
        <v>969</v>
      </c>
      <c r="CK1" s="45" t="s">
        <v>970</v>
      </c>
      <c r="CL1" s="45" t="s">
        <v>971</v>
      </c>
      <c r="CM1" s="45" t="s">
        <v>972</v>
      </c>
      <c r="CN1" s="45" t="s">
        <v>973</v>
      </c>
      <c r="CO1" s="45" t="s">
        <v>974</v>
      </c>
      <c r="CP1" s="45" t="s">
        <v>975</v>
      </c>
      <c r="CQ1" s="55"/>
      <c r="CR1" s="17"/>
      <c r="CS1" s="44" t="s">
        <v>978</v>
      </c>
      <c r="CT1" s="44" t="s">
        <v>942</v>
      </c>
      <c r="CU1" s="17"/>
      <c r="CV1" s="44" t="s">
        <v>940</v>
      </c>
      <c r="CW1" s="44" t="s">
        <v>943</v>
      </c>
    </row>
    <row r="2" spans="1:101" s="17" customFormat="1" ht="34.5" customHeight="1" x14ac:dyDescent="0.3">
      <c r="A2" s="44"/>
      <c r="B2" s="45"/>
      <c r="C2" s="45" t="s">
        <v>960</v>
      </c>
      <c r="D2" s="45" t="s">
        <v>961</v>
      </c>
      <c r="E2" s="45" t="s">
        <v>962</v>
      </c>
      <c r="F2" s="45" t="s">
        <v>963</v>
      </c>
      <c r="G2" s="45" t="s">
        <v>964</v>
      </c>
      <c r="H2" s="45" t="s">
        <v>965</v>
      </c>
      <c r="I2" s="45" t="s">
        <v>966</v>
      </c>
      <c r="J2" s="45" t="s">
        <v>967</v>
      </c>
      <c r="K2" s="45" t="s">
        <v>968</v>
      </c>
      <c r="L2" s="45" t="s">
        <v>969</v>
      </c>
      <c r="M2" s="45" t="s">
        <v>970</v>
      </c>
      <c r="N2" s="45" t="s">
        <v>971</v>
      </c>
      <c r="O2" s="45" t="s">
        <v>972</v>
      </c>
      <c r="P2" s="45" t="s">
        <v>973</v>
      </c>
      <c r="Q2" s="45" t="s">
        <v>974</v>
      </c>
      <c r="R2" s="45" t="s">
        <v>975</v>
      </c>
      <c r="T2" s="16" t="s">
        <v>929</v>
      </c>
      <c r="U2" s="44" t="s">
        <v>932</v>
      </c>
      <c r="V2" s="50">
        <v>0</v>
      </c>
      <c r="W2" s="50">
        <v>0</v>
      </c>
      <c r="X2" s="50">
        <v>0</v>
      </c>
      <c r="Y2" s="50">
        <v>0</v>
      </c>
      <c r="Z2" s="50">
        <v>0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0">
        <v>0</v>
      </c>
      <c r="AL2"/>
      <c r="AM2" s="16" t="s">
        <v>933</v>
      </c>
      <c r="AN2" t="s">
        <v>920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/>
      <c r="BF2" s="48" t="s">
        <v>904</v>
      </c>
      <c r="BG2" s="48" t="s">
        <v>922</v>
      </c>
      <c r="BH2" s="46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  <c r="BP2" s="46">
        <v>0</v>
      </c>
      <c r="BQ2" s="46">
        <v>0</v>
      </c>
      <c r="BR2" s="46">
        <v>0</v>
      </c>
      <c r="BS2" s="46">
        <v>0</v>
      </c>
      <c r="BT2" s="46">
        <v>0</v>
      </c>
      <c r="BU2" s="46">
        <v>0</v>
      </c>
      <c r="BV2" s="46">
        <v>0</v>
      </c>
      <c r="BW2" s="46">
        <v>0</v>
      </c>
      <c r="BX2"/>
      <c r="BY2" s="48" t="s">
        <v>904</v>
      </c>
      <c r="BZ2" s="48" t="s">
        <v>925</v>
      </c>
      <c r="CA2" s="46">
        <v>0</v>
      </c>
      <c r="CB2" s="46">
        <v>0</v>
      </c>
      <c r="CC2" s="46">
        <v>0</v>
      </c>
      <c r="CD2" s="46">
        <v>0</v>
      </c>
      <c r="CE2" s="46">
        <v>0</v>
      </c>
      <c r="CF2" s="46">
        <v>0</v>
      </c>
      <c r="CG2" s="46">
        <v>0</v>
      </c>
      <c r="CH2" s="46">
        <v>0</v>
      </c>
      <c r="CI2" s="46">
        <v>0</v>
      </c>
      <c r="CJ2" s="46">
        <v>0</v>
      </c>
      <c r="CK2" s="46">
        <v>0</v>
      </c>
      <c r="CL2" s="46">
        <v>0</v>
      </c>
      <c r="CM2" s="46">
        <v>0</v>
      </c>
      <c r="CN2" s="46">
        <v>0</v>
      </c>
      <c r="CO2" s="46">
        <v>0</v>
      </c>
      <c r="CP2" s="53">
        <v>0</v>
      </c>
      <c r="CQ2" s="56"/>
      <c r="CR2"/>
      <c r="CS2" s="59">
        <v>0</v>
      </c>
      <c r="CT2" s="48" t="s">
        <v>922</v>
      </c>
      <c r="CU2"/>
      <c r="CV2" s="59">
        <v>0</v>
      </c>
      <c r="CW2" s="48" t="s">
        <v>925</v>
      </c>
    </row>
    <row r="3" spans="1:101" x14ac:dyDescent="0.3">
      <c r="A3" s="46">
        <v>1</v>
      </c>
      <c r="B3" s="48" t="s">
        <v>904</v>
      </c>
      <c r="C3" s="46">
        <v>2</v>
      </c>
      <c r="D3" s="46">
        <v>3</v>
      </c>
      <c r="E3" s="46">
        <v>5</v>
      </c>
      <c r="F3" s="46">
        <v>5</v>
      </c>
      <c r="G3" s="46">
        <v>8</v>
      </c>
      <c r="H3" s="46">
        <v>8</v>
      </c>
      <c r="I3" s="46">
        <v>10</v>
      </c>
      <c r="J3" s="46">
        <v>11</v>
      </c>
      <c r="K3" s="46">
        <v>13</v>
      </c>
      <c r="L3" s="46">
        <v>14</v>
      </c>
      <c r="M3" s="46">
        <v>16</v>
      </c>
      <c r="N3" s="46">
        <v>17</v>
      </c>
      <c r="O3" s="46">
        <v>22</v>
      </c>
      <c r="P3" s="46">
        <v>27</v>
      </c>
      <c r="Q3" s="46">
        <v>29</v>
      </c>
      <c r="R3" s="46">
        <v>35</v>
      </c>
      <c r="T3" s="16" t="s">
        <v>930</v>
      </c>
      <c r="U3" s="48" t="s">
        <v>921</v>
      </c>
      <c r="V3" s="50">
        <f>C8/100*20</f>
        <v>1.2</v>
      </c>
      <c r="W3" s="50">
        <f t="shared" ref="W3:AK3" si="0">D8/100*20</f>
        <v>2.8000000000000003</v>
      </c>
      <c r="X3" s="50">
        <f t="shared" si="0"/>
        <v>6</v>
      </c>
      <c r="Y3" s="50">
        <f t="shared" si="0"/>
        <v>7.6</v>
      </c>
      <c r="Z3" s="50">
        <f t="shared" si="0"/>
        <v>9.2000000000000011</v>
      </c>
      <c r="AA3" s="50">
        <f t="shared" si="0"/>
        <v>10.8</v>
      </c>
      <c r="AB3" s="50">
        <f t="shared" si="0"/>
        <v>13</v>
      </c>
      <c r="AC3" s="50">
        <f t="shared" si="0"/>
        <v>15.4</v>
      </c>
      <c r="AD3" s="50">
        <f t="shared" si="0"/>
        <v>18</v>
      </c>
      <c r="AE3" s="50">
        <f t="shared" si="0"/>
        <v>20.6</v>
      </c>
      <c r="AF3" s="50">
        <f t="shared" si="0"/>
        <v>23.799999999999997</v>
      </c>
      <c r="AG3" s="50">
        <f t="shared" si="0"/>
        <v>27</v>
      </c>
      <c r="AH3" s="50">
        <f t="shared" si="0"/>
        <v>32</v>
      </c>
      <c r="AI3" s="50">
        <f t="shared" si="0"/>
        <v>37.200000000000003</v>
      </c>
      <c r="AJ3" s="50">
        <f t="shared" si="0"/>
        <v>39</v>
      </c>
      <c r="AK3" s="50">
        <f t="shared" si="0"/>
        <v>43.8</v>
      </c>
      <c r="AM3" s="16" t="s">
        <v>928</v>
      </c>
      <c r="AN3" t="s">
        <v>921</v>
      </c>
      <c r="AO3" s="49">
        <v>3.5999999999999996</v>
      </c>
      <c r="AP3" s="49">
        <v>8.4</v>
      </c>
      <c r="AQ3" s="49">
        <v>18</v>
      </c>
      <c r="AR3" s="49">
        <v>22.8</v>
      </c>
      <c r="AS3" s="49">
        <v>27.6</v>
      </c>
      <c r="AT3" s="49">
        <v>32.400000000000006</v>
      </c>
      <c r="AU3" s="49">
        <v>39</v>
      </c>
      <c r="AV3" s="49">
        <v>46.2</v>
      </c>
      <c r="AW3" s="49">
        <v>54</v>
      </c>
      <c r="AX3" s="49">
        <v>61.800000000000004</v>
      </c>
      <c r="AY3" s="49">
        <v>71.399999999999991</v>
      </c>
      <c r="AZ3" s="49">
        <v>81</v>
      </c>
      <c r="BA3" s="49">
        <v>96</v>
      </c>
      <c r="BB3" s="49">
        <v>111.60000000000001</v>
      </c>
      <c r="BC3" s="49">
        <v>117</v>
      </c>
      <c r="BD3" s="49">
        <v>131.4</v>
      </c>
      <c r="BF3" s="48" t="s">
        <v>902</v>
      </c>
      <c r="BG3" s="48" t="s">
        <v>922</v>
      </c>
      <c r="BH3" s="46">
        <v>0</v>
      </c>
      <c r="BI3" s="46">
        <v>0</v>
      </c>
      <c r="BJ3" s="46">
        <v>0</v>
      </c>
      <c r="BK3" s="46">
        <v>0</v>
      </c>
      <c r="BL3" s="46">
        <v>0</v>
      </c>
      <c r="BM3" s="46">
        <v>0</v>
      </c>
      <c r="BN3" s="46">
        <v>0</v>
      </c>
      <c r="BO3" s="46">
        <v>0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Y3" s="48" t="s">
        <v>902</v>
      </c>
      <c r="BZ3" s="48" t="s">
        <v>925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53">
        <v>0</v>
      </c>
      <c r="CS3" s="60">
        <v>0.2</v>
      </c>
      <c r="CT3" s="48" t="s">
        <v>941</v>
      </c>
      <c r="CV3" s="59">
        <v>0.60099999999999998</v>
      </c>
      <c r="CW3" s="48" t="s">
        <v>941</v>
      </c>
    </row>
    <row r="4" spans="1:101" x14ac:dyDescent="0.3">
      <c r="A4" s="46">
        <v>2</v>
      </c>
      <c r="B4" s="48" t="s">
        <v>902</v>
      </c>
      <c r="C4" s="46">
        <v>1</v>
      </c>
      <c r="D4" s="46">
        <v>3</v>
      </c>
      <c r="E4" s="46">
        <v>7</v>
      </c>
      <c r="F4" s="46">
        <v>10</v>
      </c>
      <c r="G4" s="46">
        <v>12</v>
      </c>
      <c r="H4" s="46">
        <v>15</v>
      </c>
      <c r="I4" s="46">
        <v>17</v>
      </c>
      <c r="J4" s="46">
        <v>22</v>
      </c>
      <c r="K4" s="46">
        <v>26</v>
      </c>
      <c r="L4" s="46">
        <v>30</v>
      </c>
      <c r="M4" s="46">
        <v>36</v>
      </c>
      <c r="N4" s="46">
        <v>41</v>
      </c>
      <c r="O4" s="46">
        <v>47</v>
      </c>
      <c r="P4" s="46">
        <v>52</v>
      </c>
      <c r="Q4" s="46">
        <v>55</v>
      </c>
      <c r="R4" s="46">
        <v>61</v>
      </c>
      <c r="T4" s="16" t="s">
        <v>931</v>
      </c>
      <c r="U4" s="48" t="s">
        <v>925</v>
      </c>
      <c r="V4" s="51">
        <f>C8/100*40</f>
        <v>2.4</v>
      </c>
      <c r="W4" s="51">
        <f t="shared" ref="W4:AK4" si="1">D8/100*40</f>
        <v>5.6000000000000005</v>
      </c>
      <c r="X4" s="51">
        <f t="shared" si="1"/>
        <v>12</v>
      </c>
      <c r="Y4" s="51">
        <f t="shared" si="1"/>
        <v>15.2</v>
      </c>
      <c r="Z4" s="51">
        <f t="shared" si="1"/>
        <v>18.400000000000002</v>
      </c>
      <c r="AA4" s="51">
        <f t="shared" si="1"/>
        <v>21.6</v>
      </c>
      <c r="AB4" s="51">
        <f t="shared" si="1"/>
        <v>26</v>
      </c>
      <c r="AC4" s="51">
        <f t="shared" si="1"/>
        <v>30.8</v>
      </c>
      <c r="AD4" s="51">
        <f t="shared" si="1"/>
        <v>36</v>
      </c>
      <c r="AE4" s="51">
        <f t="shared" si="1"/>
        <v>41.2</v>
      </c>
      <c r="AF4" s="51">
        <f t="shared" si="1"/>
        <v>47.599999999999994</v>
      </c>
      <c r="AG4" s="51">
        <f t="shared" si="1"/>
        <v>54</v>
      </c>
      <c r="AH4" s="51">
        <f t="shared" si="1"/>
        <v>64</v>
      </c>
      <c r="AI4" s="51">
        <f t="shared" si="1"/>
        <v>74.400000000000006</v>
      </c>
      <c r="AJ4" s="51">
        <f t="shared" si="1"/>
        <v>78</v>
      </c>
      <c r="AK4" s="51">
        <f t="shared" si="1"/>
        <v>87.6</v>
      </c>
      <c r="AM4" t="s">
        <v>927</v>
      </c>
      <c r="AN4" t="s">
        <v>922</v>
      </c>
      <c r="AO4" s="49">
        <v>4.8</v>
      </c>
      <c r="AP4" s="49">
        <v>11.200000000000001</v>
      </c>
      <c r="AQ4" s="49">
        <v>24</v>
      </c>
      <c r="AR4" s="49">
        <v>30.4</v>
      </c>
      <c r="AS4" s="49">
        <v>36.800000000000004</v>
      </c>
      <c r="AT4" s="49">
        <v>43.2</v>
      </c>
      <c r="AU4" s="49">
        <v>52</v>
      </c>
      <c r="AV4" s="49">
        <v>61.6</v>
      </c>
      <c r="AW4" s="49">
        <v>72</v>
      </c>
      <c r="AX4" s="49">
        <v>82.4</v>
      </c>
      <c r="AY4" s="49">
        <v>95.199999999999989</v>
      </c>
      <c r="AZ4" s="49">
        <v>108</v>
      </c>
      <c r="BA4" s="49">
        <v>128</v>
      </c>
      <c r="BB4" s="49">
        <v>148.80000000000001</v>
      </c>
      <c r="BC4" s="49">
        <v>156</v>
      </c>
      <c r="BD4" s="49">
        <v>175.2</v>
      </c>
      <c r="BF4" s="48" t="s">
        <v>900</v>
      </c>
      <c r="BG4" s="48" t="s">
        <v>922</v>
      </c>
      <c r="BH4" s="46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6">
        <v>0</v>
      </c>
      <c r="BO4" s="46">
        <v>0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Y4" s="48" t="s">
        <v>900</v>
      </c>
      <c r="BZ4" s="48" t="s">
        <v>925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53">
        <v>0</v>
      </c>
      <c r="CS4" s="59">
        <v>0.4</v>
      </c>
      <c r="CT4" s="48" t="s">
        <v>925</v>
      </c>
      <c r="CV4" s="59">
        <v>0.8</v>
      </c>
      <c r="CW4" s="48" t="s">
        <v>922</v>
      </c>
    </row>
    <row r="5" spans="1:101" x14ac:dyDescent="0.3">
      <c r="A5" s="46">
        <v>3</v>
      </c>
      <c r="B5" s="48" t="s">
        <v>900</v>
      </c>
      <c r="C5" s="46">
        <v>1</v>
      </c>
      <c r="D5" s="46">
        <v>4</v>
      </c>
      <c r="E5" s="46">
        <v>7</v>
      </c>
      <c r="F5" s="46">
        <v>9</v>
      </c>
      <c r="G5" s="46">
        <v>10</v>
      </c>
      <c r="H5" s="46">
        <v>12</v>
      </c>
      <c r="I5" s="46">
        <v>14</v>
      </c>
      <c r="J5" s="46">
        <v>16</v>
      </c>
      <c r="K5" s="46">
        <v>18</v>
      </c>
      <c r="L5" s="46">
        <v>21</v>
      </c>
      <c r="M5" s="46">
        <v>25</v>
      </c>
      <c r="N5" s="46">
        <v>31</v>
      </c>
      <c r="O5" s="46">
        <v>41</v>
      </c>
      <c r="P5" s="46">
        <v>53</v>
      </c>
      <c r="Q5" s="46">
        <v>56</v>
      </c>
      <c r="R5" s="46">
        <v>61</v>
      </c>
      <c r="BF5" s="48" t="s">
        <v>901</v>
      </c>
      <c r="BG5" s="48" t="s">
        <v>922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Y5" s="48" t="s">
        <v>901</v>
      </c>
      <c r="BZ5" s="48" t="s">
        <v>925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53">
        <v>0</v>
      </c>
      <c r="CV5" s="42"/>
    </row>
    <row r="6" spans="1:101" x14ac:dyDescent="0.3">
      <c r="A6" s="46">
        <v>4</v>
      </c>
      <c r="B6" s="48" t="s">
        <v>901</v>
      </c>
      <c r="C6" s="46">
        <v>1</v>
      </c>
      <c r="D6" s="46">
        <v>2</v>
      </c>
      <c r="E6" s="46">
        <v>5</v>
      </c>
      <c r="F6" s="46">
        <v>6</v>
      </c>
      <c r="G6" s="46">
        <v>7</v>
      </c>
      <c r="H6" s="46">
        <v>9</v>
      </c>
      <c r="I6" s="46">
        <v>10</v>
      </c>
      <c r="J6" s="46">
        <v>11</v>
      </c>
      <c r="K6" s="46">
        <v>12</v>
      </c>
      <c r="L6" s="46">
        <v>13</v>
      </c>
      <c r="M6" s="46">
        <v>14</v>
      </c>
      <c r="N6" s="46">
        <v>15</v>
      </c>
      <c r="O6" s="46">
        <v>16</v>
      </c>
      <c r="P6" s="46">
        <v>17</v>
      </c>
      <c r="Q6" s="46">
        <v>18</v>
      </c>
      <c r="R6" s="46">
        <v>21</v>
      </c>
      <c r="BF6" s="48" t="s">
        <v>903</v>
      </c>
      <c r="BG6" s="48" t="s">
        <v>922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Y6" s="48" t="s">
        <v>903</v>
      </c>
      <c r="BZ6" s="48" t="s">
        <v>925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53">
        <v>0</v>
      </c>
    </row>
    <row r="7" spans="1:101" x14ac:dyDescent="0.3">
      <c r="A7" s="46">
        <v>5</v>
      </c>
      <c r="B7" s="48" t="s">
        <v>903</v>
      </c>
      <c r="C7" s="46">
        <v>1</v>
      </c>
      <c r="D7" s="46">
        <v>2</v>
      </c>
      <c r="E7" s="46">
        <v>6</v>
      </c>
      <c r="F7" s="46">
        <v>8</v>
      </c>
      <c r="G7" s="46">
        <v>9</v>
      </c>
      <c r="H7" s="46">
        <v>10</v>
      </c>
      <c r="I7" s="46">
        <v>14</v>
      </c>
      <c r="J7" s="46">
        <v>17</v>
      </c>
      <c r="K7" s="46">
        <v>21</v>
      </c>
      <c r="L7" s="46">
        <v>25</v>
      </c>
      <c r="M7" s="46">
        <v>28</v>
      </c>
      <c r="N7" s="46">
        <v>31</v>
      </c>
      <c r="O7" s="46">
        <v>34</v>
      </c>
      <c r="P7" s="46">
        <v>37</v>
      </c>
      <c r="Q7" s="46">
        <v>37</v>
      </c>
      <c r="R7" s="46">
        <v>41</v>
      </c>
      <c r="BF7" s="48" t="s">
        <v>904</v>
      </c>
      <c r="BG7" s="48" t="s">
        <v>921</v>
      </c>
      <c r="BH7" s="50">
        <f t="shared" ref="BH7:BH9" si="2">C3/100*20</f>
        <v>0.4</v>
      </c>
      <c r="BI7" s="50">
        <f t="shared" ref="BI7:BI11" si="3">D3/100*20</f>
        <v>0.6</v>
      </c>
      <c r="BJ7" s="50">
        <f t="shared" ref="BJ7:BJ11" si="4">E3/100*20</f>
        <v>1</v>
      </c>
      <c r="BK7" s="50">
        <f t="shared" ref="BK7:BK11" si="5">F3/100*20</f>
        <v>1</v>
      </c>
      <c r="BL7" s="50">
        <f t="shared" ref="BL7:BL11" si="6">G3/100*20</f>
        <v>1.6</v>
      </c>
      <c r="BM7" s="50">
        <f t="shared" ref="BM7:BM11" si="7">H3/100*20</f>
        <v>1.6</v>
      </c>
      <c r="BN7" s="50">
        <f t="shared" ref="BN7:BN11" si="8">I3/100*20</f>
        <v>2</v>
      </c>
      <c r="BO7" s="50">
        <f t="shared" ref="BO7:BO11" si="9">J3/100*20</f>
        <v>2.2000000000000002</v>
      </c>
      <c r="BP7" s="50">
        <f t="shared" ref="BP7:BP11" si="10">K3/100*20</f>
        <v>2.6</v>
      </c>
      <c r="BQ7" s="50">
        <f t="shared" ref="BQ7:BQ11" si="11">L3/100*20</f>
        <v>2.8000000000000003</v>
      </c>
      <c r="BR7" s="50">
        <f t="shared" ref="BR7:BR11" si="12">M3/100*20</f>
        <v>3.2</v>
      </c>
      <c r="BS7" s="50">
        <f t="shared" ref="BS7:BS11" si="13">N3/100*20</f>
        <v>3.4000000000000004</v>
      </c>
      <c r="BT7" s="50">
        <f t="shared" ref="BT7:BT11" si="14">O3/100*20</f>
        <v>4.4000000000000004</v>
      </c>
      <c r="BU7" s="50">
        <f t="shared" ref="BU7:BU11" si="15">P3/100*20</f>
        <v>5.4</v>
      </c>
      <c r="BV7" s="50">
        <f t="shared" ref="BV7:BV11" si="16">Q3/100*20</f>
        <v>5.8</v>
      </c>
      <c r="BW7" s="50">
        <f t="shared" ref="BW7:BW11" si="17">R3/100*20</f>
        <v>7</v>
      </c>
      <c r="BY7" s="48" t="s">
        <v>904</v>
      </c>
      <c r="BZ7" s="48" t="s">
        <v>921</v>
      </c>
      <c r="CA7" s="50">
        <f t="shared" ref="CA7:CP11" si="18">C3/100*60</f>
        <v>1.2</v>
      </c>
      <c r="CB7" s="50">
        <f t="shared" si="18"/>
        <v>1.7999999999999998</v>
      </c>
      <c r="CC7" s="50">
        <f t="shared" si="18"/>
        <v>3</v>
      </c>
      <c r="CD7" s="50">
        <f t="shared" si="18"/>
        <v>3</v>
      </c>
      <c r="CE7" s="50">
        <f t="shared" si="18"/>
        <v>4.8</v>
      </c>
      <c r="CF7" s="50">
        <f t="shared" si="18"/>
        <v>4.8</v>
      </c>
      <c r="CG7" s="50">
        <f t="shared" si="18"/>
        <v>6</v>
      </c>
      <c r="CH7" s="50">
        <f t="shared" si="18"/>
        <v>6.6</v>
      </c>
      <c r="CI7" s="50">
        <f t="shared" si="18"/>
        <v>7.8000000000000007</v>
      </c>
      <c r="CJ7" s="50">
        <f t="shared" si="18"/>
        <v>8.4</v>
      </c>
      <c r="CK7" s="50">
        <f t="shared" si="18"/>
        <v>9.6</v>
      </c>
      <c r="CL7" s="50">
        <f t="shared" si="18"/>
        <v>10.200000000000001</v>
      </c>
      <c r="CM7" s="50">
        <f t="shared" si="18"/>
        <v>13.2</v>
      </c>
      <c r="CN7" s="50">
        <f t="shared" si="18"/>
        <v>16.200000000000003</v>
      </c>
      <c r="CO7" s="50">
        <f t="shared" si="18"/>
        <v>17.399999999999999</v>
      </c>
      <c r="CP7" s="54">
        <f t="shared" si="18"/>
        <v>21</v>
      </c>
      <c r="CQ7" s="57"/>
    </row>
    <row r="8" spans="1:101" x14ac:dyDescent="0.3">
      <c r="C8">
        <f>SUM(C3:C7)</f>
        <v>6</v>
      </c>
      <c r="D8">
        <f t="shared" ref="D8:R8" si="19">SUM(D3:D7)</f>
        <v>14</v>
      </c>
      <c r="E8">
        <f t="shared" si="19"/>
        <v>30</v>
      </c>
      <c r="F8">
        <f t="shared" si="19"/>
        <v>38</v>
      </c>
      <c r="G8">
        <f t="shared" si="19"/>
        <v>46</v>
      </c>
      <c r="H8">
        <f t="shared" si="19"/>
        <v>54</v>
      </c>
      <c r="I8">
        <f t="shared" si="19"/>
        <v>65</v>
      </c>
      <c r="J8">
        <f t="shared" si="19"/>
        <v>77</v>
      </c>
      <c r="K8">
        <f t="shared" si="19"/>
        <v>90</v>
      </c>
      <c r="L8">
        <f t="shared" si="19"/>
        <v>103</v>
      </c>
      <c r="M8">
        <f t="shared" si="19"/>
        <v>119</v>
      </c>
      <c r="N8">
        <f t="shared" si="19"/>
        <v>135</v>
      </c>
      <c r="O8">
        <f t="shared" si="19"/>
        <v>160</v>
      </c>
      <c r="P8">
        <f t="shared" si="19"/>
        <v>186</v>
      </c>
      <c r="Q8">
        <f t="shared" si="19"/>
        <v>195</v>
      </c>
      <c r="R8">
        <f t="shared" si="19"/>
        <v>219</v>
      </c>
      <c r="BF8" s="48" t="s">
        <v>902</v>
      </c>
      <c r="BG8" s="48" t="s">
        <v>921</v>
      </c>
      <c r="BH8" s="50">
        <f t="shared" si="2"/>
        <v>0.2</v>
      </c>
      <c r="BI8" s="50">
        <f t="shared" si="3"/>
        <v>0.6</v>
      </c>
      <c r="BJ8" s="50">
        <f t="shared" si="4"/>
        <v>1.4000000000000001</v>
      </c>
      <c r="BK8" s="50">
        <f t="shared" si="5"/>
        <v>2</v>
      </c>
      <c r="BL8" s="50">
        <f t="shared" si="6"/>
        <v>2.4</v>
      </c>
      <c r="BM8" s="50">
        <f t="shared" si="7"/>
        <v>3</v>
      </c>
      <c r="BN8" s="50">
        <f t="shared" si="8"/>
        <v>3.4000000000000004</v>
      </c>
      <c r="BO8" s="50">
        <f t="shared" si="9"/>
        <v>4.4000000000000004</v>
      </c>
      <c r="BP8" s="50">
        <f t="shared" si="10"/>
        <v>5.2</v>
      </c>
      <c r="BQ8" s="50">
        <f t="shared" si="11"/>
        <v>6</v>
      </c>
      <c r="BR8" s="50">
        <f t="shared" si="12"/>
        <v>7.1999999999999993</v>
      </c>
      <c r="BS8" s="50">
        <f t="shared" si="13"/>
        <v>8.1999999999999993</v>
      </c>
      <c r="BT8" s="50">
        <f t="shared" si="14"/>
        <v>9.3999999999999986</v>
      </c>
      <c r="BU8" s="50">
        <f t="shared" si="15"/>
        <v>10.4</v>
      </c>
      <c r="BV8" s="50">
        <f t="shared" si="16"/>
        <v>11</v>
      </c>
      <c r="BW8" s="50">
        <f t="shared" si="17"/>
        <v>12.2</v>
      </c>
      <c r="BY8" s="48" t="s">
        <v>902</v>
      </c>
      <c r="BZ8" s="48" t="s">
        <v>921</v>
      </c>
      <c r="CA8" s="50">
        <f t="shared" si="18"/>
        <v>0.6</v>
      </c>
      <c r="CB8" s="50">
        <f t="shared" si="18"/>
        <v>1.7999999999999998</v>
      </c>
      <c r="CC8" s="50">
        <f t="shared" si="18"/>
        <v>4.2</v>
      </c>
      <c r="CD8" s="50">
        <f t="shared" si="18"/>
        <v>6</v>
      </c>
      <c r="CE8" s="50">
        <f t="shared" si="18"/>
        <v>7.1999999999999993</v>
      </c>
      <c r="CF8" s="50">
        <f t="shared" si="18"/>
        <v>9</v>
      </c>
      <c r="CG8" s="50">
        <f t="shared" si="18"/>
        <v>10.200000000000001</v>
      </c>
      <c r="CH8" s="50">
        <f t="shared" si="18"/>
        <v>13.2</v>
      </c>
      <c r="CI8" s="50">
        <f t="shared" si="18"/>
        <v>15.600000000000001</v>
      </c>
      <c r="CJ8" s="50">
        <f t="shared" si="18"/>
        <v>18</v>
      </c>
      <c r="CK8" s="50">
        <f t="shared" si="18"/>
        <v>21.599999999999998</v>
      </c>
      <c r="CL8" s="50">
        <f t="shared" si="18"/>
        <v>24.599999999999998</v>
      </c>
      <c r="CM8" s="50">
        <f t="shared" si="18"/>
        <v>28.2</v>
      </c>
      <c r="CN8" s="50">
        <f t="shared" si="18"/>
        <v>31.200000000000003</v>
      </c>
      <c r="CO8" s="50">
        <f t="shared" si="18"/>
        <v>33</v>
      </c>
      <c r="CP8" s="54">
        <f t="shared" si="18"/>
        <v>36.6</v>
      </c>
      <c r="CQ8" s="57"/>
    </row>
    <row r="9" spans="1:101" x14ac:dyDescent="0.3">
      <c r="BF9" s="48" t="s">
        <v>900</v>
      </c>
      <c r="BG9" s="48" t="s">
        <v>921</v>
      </c>
      <c r="BH9" s="50">
        <f t="shared" si="2"/>
        <v>0.2</v>
      </c>
      <c r="BI9" s="50">
        <f t="shared" si="3"/>
        <v>0.8</v>
      </c>
      <c r="BJ9" s="50">
        <f t="shared" si="4"/>
        <v>1.4000000000000001</v>
      </c>
      <c r="BK9" s="50">
        <f t="shared" si="5"/>
        <v>1.7999999999999998</v>
      </c>
      <c r="BL9" s="50">
        <f t="shared" si="6"/>
        <v>2</v>
      </c>
      <c r="BM9" s="50">
        <f t="shared" si="7"/>
        <v>2.4</v>
      </c>
      <c r="BN9" s="50">
        <f t="shared" si="8"/>
        <v>2.8000000000000003</v>
      </c>
      <c r="BO9" s="50">
        <f t="shared" si="9"/>
        <v>3.2</v>
      </c>
      <c r="BP9" s="50">
        <f t="shared" si="10"/>
        <v>3.5999999999999996</v>
      </c>
      <c r="BQ9" s="50">
        <f t="shared" si="11"/>
        <v>4.2</v>
      </c>
      <c r="BR9" s="50">
        <f t="shared" si="12"/>
        <v>5</v>
      </c>
      <c r="BS9" s="50">
        <f t="shared" si="13"/>
        <v>6.2</v>
      </c>
      <c r="BT9" s="50">
        <f t="shared" si="14"/>
        <v>8.1999999999999993</v>
      </c>
      <c r="BU9" s="50">
        <f t="shared" si="15"/>
        <v>10.600000000000001</v>
      </c>
      <c r="BV9" s="50">
        <f t="shared" si="16"/>
        <v>11.200000000000001</v>
      </c>
      <c r="BW9" s="50">
        <f t="shared" si="17"/>
        <v>12.2</v>
      </c>
      <c r="BY9" s="48" t="s">
        <v>900</v>
      </c>
      <c r="BZ9" s="48" t="s">
        <v>921</v>
      </c>
      <c r="CA9" s="50">
        <f t="shared" si="18"/>
        <v>0.6</v>
      </c>
      <c r="CB9" s="50">
        <f t="shared" ref="CB9" si="20">D5/100*60</f>
        <v>2.4</v>
      </c>
      <c r="CC9" s="50">
        <f t="shared" ref="CC9" si="21">E5/100*60</f>
        <v>4.2</v>
      </c>
      <c r="CD9" s="50">
        <f t="shared" ref="CD9" si="22">F5/100*60</f>
        <v>5.3999999999999995</v>
      </c>
      <c r="CE9" s="50">
        <f t="shared" ref="CE9" si="23">G5/100*60</f>
        <v>6</v>
      </c>
      <c r="CF9" s="50">
        <f t="shared" ref="CF9" si="24">H5/100*60</f>
        <v>7.1999999999999993</v>
      </c>
      <c r="CG9" s="50">
        <f t="shared" ref="CG9" si="25">I5/100*60</f>
        <v>8.4</v>
      </c>
      <c r="CH9" s="50">
        <f t="shared" ref="CH9" si="26">J5/100*60</f>
        <v>9.6</v>
      </c>
      <c r="CI9" s="50">
        <f t="shared" ref="CI9" si="27">K5/100*60</f>
        <v>10.799999999999999</v>
      </c>
      <c r="CJ9" s="50">
        <f t="shared" ref="CJ9" si="28">L5/100*60</f>
        <v>12.6</v>
      </c>
      <c r="CK9" s="50">
        <f t="shared" ref="CK9" si="29">M5/100*60</f>
        <v>15</v>
      </c>
      <c r="CL9" s="50">
        <f t="shared" ref="CL9" si="30">N5/100*60</f>
        <v>18.600000000000001</v>
      </c>
      <c r="CM9" s="50">
        <f t="shared" ref="CM9" si="31">O5/100*60</f>
        <v>24.599999999999998</v>
      </c>
      <c r="CN9" s="50">
        <f t="shared" ref="CN9" si="32">P5/100*60</f>
        <v>31.8</v>
      </c>
      <c r="CO9" s="50">
        <f t="shared" ref="CO9" si="33">Q5/100*60</f>
        <v>33.6</v>
      </c>
      <c r="CP9" s="50">
        <f t="shared" ref="CP9" si="34">R5/100*60</f>
        <v>36.6</v>
      </c>
      <c r="CQ9" s="57"/>
    </row>
    <row r="10" spans="1:101" x14ac:dyDescent="0.3">
      <c r="C10" s="39">
        <f>C8/$R$8</f>
        <v>2.7397260273972601E-2</v>
      </c>
      <c r="D10" s="39">
        <f t="shared" ref="D10:R10" si="35">D8/$R$8</f>
        <v>6.3926940639269403E-2</v>
      </c>
      <c r="E10" s="39">
        <f t="shared" si="35"/>
        <v>0.13698630136986301</v>
      </c>
      <c r="F10" s="39">
        <f t="shared" si="35"/>
        <v>0.17351598173515981</v>
      </c>
      <c r="G10" s="39">
        <f t="shared" si="35"/>
        <v>0.21004566210045661</v>
      </c>
      <c r="H10" s="39">
        <f t="shared" si="35"/>
        <v>0.24657534246575341</v>
      </c>
      <c r="I10" s="39">
        <f t="shared" si="35"/>
        <v>0.29680365296803651</v>
      </c>
      <c r="J10" s="39">
        <f t="shared" si="35"/>
        <v>0.35159817351598172</v>
      </c>
      <c r="K10" s="39">
        <f t="shared" si="35"/>
        <v>0.41095890410958902</v>
      </c>
      <c r="L10" s="39">
        <f t="shared" si="35"/>
        <v>0.47031963470319632</v>
      </c>
      <c r="M10" s="39">
        <f t="shared" si="35"/>
        <v>0.54337899543378998</v>
      </c>
      <c r="N10" s="39">
        <f t="shared" si="35"/>
        <v>0.61643835616438358</v>
      </c>
      <c r="O10" s="39">
        <f t="shared" si="35"/>
        <v>0.73059360730593603</v>
      </c>
      <c r="P10" s="39">
        <f t="shared" si="35"/>
        <v>0.84931506849315064</v>
      </c>
      <c r="Q10" s="39">
        <f t="shared" si="35"/>
        <v>0.8904109589041096</v>
      </c>
      <c r="R10" s="39">
        <f t="shared" si="35"/>
        <v>1</v>
      </c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8" t="s">
        <v>901</v>
      </c>
      <c r="BG10" s="48" t="s">
        <v>921</v>
      </c>
      <c r="BH10" s="50">
        <f>C6/100*20</f>
        <v>0.2</v>
      </c>
      <c r="BI10" s="50">
        <f t="shared" si="3"/>
        <v>0.4</v>
      </c>
      <c r="BJ10" s="50">
        <f t="shared" si="4"/>
        <v>1</v>
      </c>
      <c r="BK10" s="50">
        <f t="shared" si="5"/>
        <v>1.2</v>
      </c>
      <c r="BL10" s="50">
        <f t="shared" si="6"/>
        <v>1.4000000000000001</v>
      </c>
      <c r="BM10" s="50">
        <f t="shared" si="7"/>
        <v>1.7999999999999998</v>
      </c>
      <c r="BN10" s="50">
        <f t="shared" si="8"/>
        <v>2</v>
      </c>
      <c r="BO10" s="50">
        <f t="shared" si="9"/>
        <v>2.2000000000000002</v>
      </c>
      <c r="BP10" s="50">
        <f t="shared" si="10"/>
        <v>2.4</v>
      </c>
      <c r="BQ10" s="50">
        <f t="shared" si="11"/>
        <v>2.6</v>
      </c>
      <c r="BR10" s="50">
        <f t="shared" si="12"/>
        <v>2.8000000000000003</v>
      </c>
      <c r="BS10" s="50">
        <f t="shared" si="13"/>
        <v>3</v>
      </c>
      <c r="BT10" s="50">
        <f t="shared" si="14"/>
        <v>3.2</v>
      </c>
      <c r="BU10" s="50">
        <f t="shared" si="15"/>
        <v>3.4000000000000004</v>
      </c>
      <c r="BV10" s="50">
        <f t="shared" si="16"/>
        <v>3.5999999999999996</v>
      </c>
      <c r="BW10" s="50">
        <f t="shared" si="17"/>
        <v>4.2</v>
      </c>
      <c r="BX10" s="43"/>
      <c r="BY10" s="48" t="s">
        <v>901</v>
      </c>
      <c r="BZ10" s="48" t="s">
        <v>921</v>
      </c>
      <c r="CA10" s="50">
        <f t="shared" si="18"/>
        <v>0.6</v>
      </c>
      <c r="CB10" s="50">
        <f t="shared" ref="CB10:CP11" si="36">D6/100*60</f>
        <v>1.2</v>
      </c>
      <c r="CC10" s="50">
        <f t="shared" si="36"/>
        <v>3</v>
      </c>
      <c r="CD10" s="50">
        <f t="shared" si="36"/>
        <v>3.5999999999999996</v>
      </c>
      <c r="CE10" s="50">
        <f t="shared" si="36"/>
        <v>4.2</v>
      </c>
      <c r="CF10" s="50">
        <f t="shared" si="36"/>
        <v>5.3999999999999995</v>
      </c>
      <c r="CG10" s="50">
        <f t="shared" si="36"/>
        <v>6</v>
      </c>
      <c r="CH10" s="50">
        <f t="shared" si="36"/>
        <v>6.6</v>
      </c>
      <c r="CI10" s="50">
        <f t="shared" si="36"/>
        <v>7.1999999999999993</v>
      </c>
      <c r="CJ10" s="50">
        <f t="shared" si="36"/>
        <v>7.8000000000000007</v>
      </c>
      <c r="CK10" s="50">
        <f t="shared" si="36"/>
        <v>8.4</v>
      </c>
      <c r="CL10" s="50">
        <f t="shared" si="36"/>
        <v>9</v>
      </c>
      <c r="CM10" s="50">
        <f t="shared" si="36"/>
        <v>9.6</v>
      </c>
      <c r="CN10" s="50">
        <f t="shared" si="36"/>
        <v>10.200000000000001</v>
      </c>
      <c r="CO10" s="50">
        <f t="shared" si="36"/>
        <v>10.799999999999999</v>
      </c>
      <c r="CP10" s="54">
        <f t="shared" si="36"/>
        <v>12.6</v>
      </c>
      <c r="CQ10" s="57"/>
      <c r="CR10" s="43"/>
      <c r="CS10" s="43"/>
      <c r="CT10" s="43"/>
      <c r="CU10" s="43"/>
      <c r="CV10" s="43"/>
      <c r="CW10" s="43"/>
    </row>
    <row r="11" spans="1:101" s="43" customFormat="1" ht="285.75" hidden="1" customHeigh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48" t="s">
        <v>903</v>
      </c>
      <c r="BG11" s="48" t="s">
        <v>921</v>
      </c>
      <c r="BH11" s="50">
        <f t="shared" ref="BH11" si="37">C7/100*20</f>
        <v>0.2</v>
      </c>
      <c r="BI11" s="50">
        <f t="shared" si="3"/>
        <v>0.4</v>
      </c>
      <c r="BJ11" s="50">
        <f t="shared" si="4"/>
        <v>1.2</v>
      </c>
      <c r="BK11" s="50">
        <f t="shared" si="5"/>
        <v>1.6</v>
      </c>
      <c r="BL11" s="50">
        <f t="shared" si="6"/>
        <v>1.7999999999999998</v>
      </c>
      <c r="BM11" s="50">
        <f t="shared" si="7"/>
        <v>2</v>
      </c>
      <c r="BN11" s="50">
        <f t="shared" si="8"/>
        <v>2.8000000000000003</v>
      </c>
      <c r="BO11" s="50">
        <f t="shared" si="9"/>
        <v>3.4000000000000004</v>
      </c>
      <c r="BP11" s="50">
        <f t="shared" si="10"/>
        <v>4.2</v>
      </c>
      <c r="BQ11" s="50">
        <f t="shared" si="11"/>
        <v>5</v>
      </c>
      <c r="BR11" s="50">
        <f t="shared" si="12"/>
        <v>5.6000000000000005</v>
      </c>
      <c r="BS11" s="50">
        <f t="shared" si="13"/>
        <v>6.2</v>
      </c>
      <c r="BT11" s="50">
        <f t="shared" si="14"/>
        <v>6.8000000000000007</v>
      </c>
      <c r="BU11" s="50">
        <f t="shared" si="15"/>
        <v>7.4</v>
      </c>
      <c r="BV11" s="50">
        <f t="shared" si="16"/>
        <v>7.4</v>
      </c>
      <c r="BW11" s="50">
        <f t="shared" si="17"/>
        <v>8.1999999999999993</v>
      </c>
      <c r="BX11"/>
      <c r="BY11" s="48" t="s">
        <v>903</v>
      </c>
      <c r="BZ11" s="48" t="s">
        <v>921</v>
      </c>
      <c r="CA11" s="50">
        <f t="shared" si="18"/>
        <v>0.6</v>
      </c>
      <c r="CB11" s="50">
        <f t="shared" si="36"/>
        <v>1.2</v>
      </c>
      <c r="CC11" s="50">
        <f t="shared" si="36"/>
        <v>3.5999999999999996</v>
      </c>
      <c r="CD11" s="50">
        <f t="shared" si="36"/>
        <v>4.8</v>
      </c>
      <c r="CE11" s="50">
        <f t="shared" si="36"/>
        <v>5.3999999999999995</v>
      </c>
      <c r="CF11" s="50">
        <f t="shared" si="36"/>
        <v>6</v>
      </c>
      <c r="CG11" s="50">
        <f t="shared" si="36"/>
        <v>8.4</v>
      </c>
      <c r="CH11" s="50">
        <f t="shared" si="36"/>
        <v>10.200000000000001</v>
      </c>
      <c r="CI11" s="50">
        <f t="shared" si="36"/>
        <v>12.6</v>
      </c>
      <c r="CJ11" s="50">
        <f t="shared" si="36"/>
        <v>15</v>
      </c>
      <c r="CK11" s="50">
        <f t="shared" si="36"/>
        <v>16.8</v>
      </c>
      <c r="CL11" s="50">
        <f t="shared" si="36"/>
        <v>18.600000000000001</v>
      </c>
      <c r="CM11" s="50">
        <f t="shared" si="36"/>
        <v>20.400000000000002</v>
      </c>
      <c r="CN11" s="50">
        <f t="shared" si="36"/>
        <v>22.2</v>
      </c>
      <c r="CO11" s="50">
        <f t="shared" si="36"/>
        <v>22.2</v>
      </c>
      <c r="CP11" s="54">
        <f t="shared" si="36"/>
        <v>24.599999999999998</v>
      </c>
      <c r="CQ11" s="57"/>
      <c r="CR11"/>
      <c r="CS11"/>
      <c r="CT11"/>
      <c r="CU11"/>
      <c r="CV11"/>
      <c r="CW11"/>
    </row>
    <row r="12" spans="1:101" s="43" customFormat="1" ht="16.2" customHeigh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48" t="s">
        <v>903</v>
      </c>
      <c r="BG12" s="48" t="s">
        <v>921</v>
      </c>
      <c r="BH12" s="50">
        <f>C7/100*20</f>
        <v>0.2</v>
      </c>
      <c r="BI12" s="50">
        <f t="shared" ref="BI12:BW12" si="38">D7/100*20</f>
        <v>0.4</v>
      </c>
      <c r="BJ12" s="50">
        <f t="shared" si="38"/>
        <v>1.2</v>
      </c>
      <c r="BK12" s="50">
        <f t="shared" si="38"/>
        <v>1.6</v>
      </c>
      <c r="BL12" s="50">
        <f t="shared" si="38"/>
        <v>1.7999999999999998</v>
      </c>
      <c r="BM12" s="50">
        <f t="shared" si="38"/>
        <v>2</v>
      </c>
      <c r="BN12" s="50">
        <f t="shared" si="38"/>
        <v>2.8000000000000003</v>
      </c>
      <c r="BO12" s="50">
        <f t="shared" si="38"/>
        <v>3.4000000000000004</v>
      </c>
      <c r="BP12" s="50">
        <f t="shared" si="38"/>
        <v>4.2</v>
      </c>
      <c r="BQ12" s="50">
        <f t="shared" si="38"/>
        <v>5</v>
      </c>
      <c r="BR12" s="50">
        <f t="shared" si="38"/>
        <v>5.6000000000000005</v>
      </c>
      <c r="BS12" s="50">
        <f t="shared" si="38"/>
        <v>6.2</v>
      </c>
      <c r="BT12" s="50">
        <f t="shared" si="38"/>
        <v>6.8000000000000007</v>
      </c>
      <c r="BU12" s="50">
        <f t="shared" si="38"/>
        <v>7.4</v>
      </c>
      <c r="BV12" s="50">
        <f t="shared" si="38"/>
        <v>7.4</v>
      </c>
      <c r="BW12" s="50">
        <f t="shared" si="38"/>
        <v>8.1999999999999993</v>
      </c>
      <c r="BX12"/>
      <c r="BY12" s="48" t="s">
        <v>977</v>
      </c>
      <c r="BZ12" s="48" t="s">
        <v>921</v>
      </c>
      <c r="CA12" s="50">
        <f>C7/100*60</f>
        <v>0.6</v>
      </c>
      <c r="CB12" s="50">
        <f t="shared" ref="CB12:CP12" si="39">D7/100*60</f>
        <v>1.2</v>
      </c>
      <c r="CC12" s="50">
        <f t="shared" si="39"/>
        <v>3.5999999999999996</v>
      </c>
      <c r="CD12" s="50">
        <f t="shared" si="39"/>
        <v>4.8</v>
      </c>
      <c r="CE12" s="50">
        <f t="shared" si="39"/>
        <v>5.3999999999999995</v>
      </c>
      <c r="CF12" s="50">
        <f t="shared" si="39"/>
        <v>6</v>
      </c>
      <c r="CG12" s="50">
        <f t="shared" si="39"/>
        <v>8.4</v>
      </c>
      <c r="CH12" s="50">
        <f t="shared" si="39"/>
        <v>10.200000000000001</v>
      </c>
      <c r="CI12" s="50">
        <f t="shared" si="39"/>
        <v>12.6</v>
      </c>
      <c r="CJ12" s="50">
        <f t="shared" si="39"/>
        <v>15</v>
      </c>
      <c r="CK12" s="50">
        <f t="shared" si="39"/>
        <v>16.8</v>
      </c>
      <c r="CL12" s="50">
        <f t="shared" si="39"/>
        <v>18.600000000000001</v>
      </c>
      <c r="CM12" s="50">
        <f t="shared" si="39"/>
        <v>20.400000000000002</v>
      </c>
      <c r="CN12" s="50">
        <f t="shared" si="39"/>
        <v>22.2</v>
      </c>
      <c r="CO12" s="50">
        <f t="shared" si="39"/>
        <v>22.2</v>
      </c>
      <c r="CP12" s="50">
        <f t="shared" si="39"/>
        <v>24.599999999999998</v>
      </c>
      <c r="CQ12" s="57"/>
      <c r="CR12"/>
      <c r="CS12"/>
      <c r="CT12"/>
      <c r="CU12"/>
      <c r="CV12"/>
      <c r="CW12"/>
    </row>
    <row r="13" spans="1:101" x14ac:dyDescent="0.3">
      <c r="BF13" s="48" t="s">
        <v>904</v>
      </c>
      <c r="BG13" s="48" t="s">
        <v>925</v>
      </c>
      <c r="BH13" s="50">
        <f>C3/100*40</f>
        <v>0.8</v>
      </c>
      <c r="BI13" s="50">
        <f t="shared" ref="BI13:BW17" si="40">D3/100*40</f>
        <v>1.2</v>
      </c>
      <c r="BJ13" s="50">
        <f t="shared" si="40"/>
        <v>2</v>
      </c>
      <c r="BK13" s="50">
        <f t="shared" si="40"/>
        <v>2</v>
      </c>
      <c r="BL13" s="50">
        <f t="shared" si="40"/>
        <v>3.2</v>
      </c>
      <c r="BM13" s="50">
        <f t="shared" si="40"/>
        <v>3.2</v>
      </c>
      <c r="BN13" s="50">
        <f t="shared" si="40"/>
        <v>4</v>
      </c>
      <c r="BO13" s="50">
        <f t="shared" si="40"/>
        <v>4.4000000000000004</v>
      </c>
      <c r="BP13" s="50">
        <f t="shared" si="40"/>
        <v>5.2</v>
      </c>
      <c r="BQ13" s="50">
        <f t="shared" si="40"/>
        <v>5.6000000000000005</v>
      </c>
      <c r="BR13" s="50">
        <f t="shared" si="40"/>
        <v>6.4</v>
      </c>
      <c r="BS13" s="50">
        <f t="shared" si="40"/>
        <v>6.8000000000000007</v>
      </c>
      <c r="BT13" s="50">
        <f t="shared" si="40"/>
        <v>8.8000000000000007</v>
      </c>
      <c r="BU13" s="50">
        <f t="shared" si="40"/>
        <v>10.8</v>
      </c>
      <c r="BV13" s="50">
        <f t="shared" si="40"/>
        <v>11.6</v>
      </c>
      <c r="BW13" s="50">
        <f t="shared" si="40"/>
        <v>14</v>
      </c>
      <c r="BY13" s="48" t="s">
        <v>904</v>
      </c>
      <c r="BZ13" s="48" t="s">
        <v>922</v>
      </c>
      <c r="CA13" s="50">
        <f>C3/100*80</f>
        <v>1.6</v>
      </c>
      <c r="CB13" s="50">
        <f t="shared" ref="CB13:CP17" si="41">D3/100*80</f>
        <v>2.4</v>
      </c>
      <c r="CC13" s="50">
        <f t="shared" si="41"/>
        <v>4</v>
      </c>
      <c r="CD13" s="50">
        <f t="shared" si="41"/>
        <v>4</v>
      </c>
      <c r="CE13" s="50">
        <f t="shared" si="41"/>
        <v>6.4</v>
      </c>
      <c r="CF13" s="50">
        <f t="shared" si="41"/>
        <v>6.4</v>
      </c>
      <c r="CG13" s="50">
        <f t="shared" si="41"/>
        <v>8</v>
      </c>
      <c r="CH13" s="50">
        <f t="shared" si="41"/>
        <v>8.8000000000000007</v>
      </c>
      <c r="CI13" s="50">
        <f t="shared" si="41"/>
        <v>10.4</v>
      </c>
      <c r="CJ13" s="50">
        <f t="shared" si="41"/>
        <v>11.200000000000001</v>
      </c>
      <c r="CK13" s="50">
        <f t="shared" si="41"/>
        <v>12.8</v>
      </c>
      <c r="CL13" s="50">
        <f t="shared" si="41"/>
        <v>13.600000000000001</v>
      </c>
      <c r="CM13" s="50">
        <f t="shared" si="41"/>
        <v>17.600000000000001</v>
      </c>
      <c r="CN13" s="50">
        <f t="shared" si="41"/>
        <v>21.6</v>
      </c>
      <c r="CO13" s="50">
        <f t="shared" si="41"/>
        <v>23.2</v>
      </c>
      <c r="CP13" s="54">
        <f t="shared" si="41"/>
        <v>28</v>
      </c>
      <c r="CQ13" s="57"/>
    </row>
    <row r="14" spans="1:101" x14ac:dyDescent="0.3">
      <c r="BF14" s="48" t="s">
        <v>902</v>
      </c>
      <c r="BG14" s="48" t="s">
        <v>925</v>
      </c>
      <c r="BH14" s="50">
        <f t="shared" ref="BH14:BH17" si="42">C4/100*40</f>
        <v>0.4</v>
      </c>
      <c r="BI14" s="50">
        <f t="shared" si="40"/>
        <v>1.2</v>
      </c>
      <c r="BJ14" s="50">
        <f t="shared" si="40"/>
        <v>2.8000000000000003</v>
      </c>
      <c r="BK14" s="50">
        <f t="shared" si="40"/>
        <v>4</v>
      </c>
      <c r="BL14" s="50">
        <f t="shared" si="40"/>
        <v>4.8</v>
      </c>
      <c r="BM14" s="50">
        <f t="shared" si="40"/>
        <v>6</v>
      </c>
      <c r="BN14" s="50">
        <f t="shared" si="40"/>
        <v>6.8000000000000007</v>
      </c>
      <c r="BO14" s="50">
        <f t="shared" si="40"/>
        <v>8.8000000000000007</v>
      </c>
      <c r="BP14" s="50">
        <f t="shared" si="40"/>
        <v>10.4</v>
      </c>
      <c r="BQ14" s="50">
        <f t="shared" si="40"/>
        <v>12</v>
      </c>
      <c r="BR14" s="50">
        <f t="shared" si="40"/>
        <v>14.399999999999999</v>
      </c>
      <c r="BS14" s="50">
        <f t="shared" si="40"/>
        <v>16.399999999999999</v>
      </c>
      <c r="BT14" s="50">
        <f t="shared" si="40"/>
        <v>18.799999999999997</v>
      </c>
      <c r="BU14" s="50">
        <f t="shared" si="40"/>
        <v>20.8</v>
      </c>
      <c r="BV14" s="50">
        <f t="shared" si="40"/>
        <v>22</v>
      </c>
      <c r="BW14" s="50">
        <f t="shared" si="40"/>
        <v>24.4</v>
      </c>
      <c r="BY14" s="48" t="s">
        <v>902</v>
      </c>
      <c r="BZ14" s="48" t="s">
        <v>922</v>
      </c>
      <c r="CA14" s="50">
        <f t="shared" ref="CA14:CA17" si="43">C4/100*80</f>
        <v>0.8</v>
      </c>
      <c r="CB14" s="50">
        <f t="shared" si="41"/>
        <v>2.4</v>
      </c>
      <c r="CC14" s="50">
        <f t="shared" si="41"/>
        <v>5.6000000000000005</v>
      </c>
      <c r="CD14" s="50">
        <f t="shared" si="41"/>
        <v>8</v>
      </c>
      <c r="CE14" s="50">
        <f t="shared" si="41"/>
        <v>9.6</v>
      </c>
      <c r="CF14" s="50">
        <f t="shared" si="41"/>
        <v>12</v>
      </c>
      <c r="CG14" s="50">
        <f t="shared" si="41"/>
        <v>13.600000000000001</v>
      </c>
      <c r="CH14" s="50">
        <f t="shared" si="41"/>
        <v>17.600000000000001</v>
      </c>
      <c r="CI14" s="50">
        <f t="shared" si="41"/>
        <v>20.8</v>
      </c>
      <c r="CJ14" s="50">
        <f t="shared" si="41"/>
        <v>24</v>
      </c>
      <c r="CK14" s="50">
        <f t="shared" si="41"/>
        <v>28.799999999999997</v>
      </c>
      <c r="CL14" s="50">
        <f t="shared" si="41"/>
        <v>32.799999999999997</v>
      </c>
      <c r="CM14" s="50">
        <f t="shared" si="41"/>
        <v>37.599999999999994</v>
      </c>
      <c r="CN14" s="50">
        <f t="shared" si="41"/>
        <v>41.6</v>
      </c>
      <c r="CO14" s="50">
        <f t="shared" si="41"/>
        <v>44</v>
      </c>
      <c r="CP14" s="54">
        <f t="shared" si="41"/>
        <v>48.8</v>
      </c>
      <c r="CQ14" s="57"/>
    </row>
    <row r="15" spans="1:101" x14ac:dyDescent="0.3">
      <c r="B15" s="16"/>
      <c r="BF15" s="48" t="s">
        <v>900</v>
      </c>
      <c r="BG15" s="48" t="s">
        <v>925</v>
      </c>
      <c r="BH15" s="50">
        <f t="shared" si="42"/>
        <v>0.4</v>
      </c>
      <c r="BI15" s="50">
        <f t="shared" si="40"/>
        <v>1.6</v>
      </c>
      <c r="BJ15" s="50">
        <f t="shared" si="40"/>
        <v>2.8000000000000003</v>
      </c>
      <c r="BK15" s="50">
        <f t="shared" si="40"/>
        <v>3.5999999999999996</v>
      </c>
      <c r="BL15" s="50">
        <f t="shared" si="40"/>
        <v>4</v>
      </c>
      <c r="BM15" s="50">
        <f t="shared" si="40"/>
        <v>4.8</v>
      </c>
      <c r="BN15" s="50">
        <f t="shared" si="40"/>
        <v>5.6000000000000005</v>
      </c>
      <c r="BO15" s="50">
        <f t="shared" si="40"/>
        <v>6.4</v>
      </c>
      <c r="BP15" s="50">
        <f t="shared" si="40"/>
        <v>7.1999999999999993</v>
      </c>
      <c r="BQ15" s="50">
        <f t="shared" si="40"/>
        <v>8.4</v>
      </c>
      <c r="BR15" s="50">
        <f t="shared" si="40"/>
        <v>10</v>
      </c>
      <c r="BS15" s="50">
        <f t="shared" si="40"/>
        <v>12.4</v>
      </c>
      <c r="BT15" s="50">
        <f t="shared" si="40"/>
        <v>16.399999999999999</v>
      </c>
      <c r="BU15" s="50">
        <f t="shared" si="40"/>
        <v>21.200000000000003</v>
      </c>
      <c r="BV15" s="50">
        <f t="shared" si="40"/>
        <v>22.400000000000002</v>
      </c>
      <c r="BW15" s="50">
        <f t="shared" si="40"/>
        <v>24.4</v>
      </c>
      <c r="BY15" s="48" t="s">
        <v>900</v>
      </c>
      <c r="BZ15" s="48" t="s">
        <v>922</v>
      </c>
      <c r="CA15" s="50">
        <f t="shared" si="43"/>
        <v>0.8</v>
      </c>
      <c r="CB15" s="50">
        <f t="shared" si="41"/>
        <v>3.2</v>
      </c>
      <c r="CC15" s="50">
        <f t="shared" si="41"/>
        <v>5.6000000000000005</v>
      </c>
      <c r="CD15" s="50">
        <f t="shared" si="41"/>
        <v>7.1999999999999993</v>
      </c>
      <c r="CE15" s="50">
        <f t="shared" si="41"/>
        <v>8</v>
      </c>
      <c r="CF15" s="50">
        <f t="shared" si="41"/>
        <v>9.6</v>
      </c>
      <c r="CG15" s="50">
        <f t="shared" si="41"/>
        <v>11.200000000000001</v>
      </c>
      <c r="CH15" s="50">
        <f t="shared" si="41"/>
        <v>12.8</v>
      </c>
      <c r="CI15" s="50">
        <f t="shared" si="41"/>
        <v>14.399999999999999</v>
      </c>
      <c r="CJ15" s="50">
        <f t="shared" si="41"/>
        <v>16.8</v>
      </c>
      <c r="CK15" s="50">
        <f t="shared" si="41"/>
        <v>20</v>
      </c>
      <c r="CL15" s="50">
        <f t="shared" si="41"/>
        <v>24.8</v>
      </c>
      <c r="CM15" s="50">
        <f t="shared" si="41"/>
        <v>32.799999999999997</v>
      </c>
      <c r="CN15" s="50">
        <f t="shared" si="41"/>
        <v>42.400000000000006</v>
      </c>
      <c r="CO15" s="50">
        <f t="shared" si="41"/>
        <v>44.800000000000004</v>
      </c>
      <c r="CP15" s="54">
        <f t="shared" si="41"/>
        <v>48.8</v>
      </c>
      <c r="CQ15" s="57"/>
    </row>
    <row r="16" spans="1:101" x14ac:dyDescent="0.3">
      <c r="B16" s="16"/>
      <c r="BF16" s="48" t="s">
        <v>901</v>
      </c>
      <c r="BG16" s="48" t="s">
        <v>925</v>
      </c>
      <c r="BH16" s="50">
        <f t="shared" si="42"/>
        <v>0.4</v>
      </c>
      <c r="BI16" s="50">
        <f t="shared" si="40"/>
        <v>0.8</v>
      </c>
      <c r="BJ16" s="50">
        <f t="shared" si="40"/>
        <v>2</v>
      </c>
      <c r="BK16" s="50">
        <f t="shared" si="40"/>
        <v>2.4</v>
      </c>
      <c r="BL16" s="50">
        <f t="shared" si="40"/>
        <v>2.8000000000000003</v>
      </c>
      <c r="BM16" s="50">
        <f t="shared" si="40"/>
        <v>3.5999999999999996</v>
      </c>
      <c r="BN16" s="50">
        <f t="shared" si="40"/>
        <v>4</v>
      </c>
      <c r="BO16" s="50">
        <f t="shared" si="40"/>
        <v>4.4000000000000004</v>
      </c>
      <c r="BP16" s="50">
        <f t="shared" si="40"/>
        <v>4.8</v>
      </c>
      <c r="BQ16" s="50">
        <f t="shared" si="40"/>
        <v>5.2</v>
      </c>
      <c r="BR16" s="50">
        <f t="shared" si="40"/>
        <v>5.6000000000000005</v>
      </c>
      <c r="BS16" s="50">
        <f t="shared" si="40"/>
        <v>6</v>
      </c>
      <c r="BT16" s="50">
        <f t="shared" si="40"/>
        <v>6.4</v>
      </c>
      <c r="BU16" s="50">
        <f t="shared" si="40"/>
        <v>6.8000000000000007</v>
      </c>
      <c r="BV16" s="50">
        <f t="shared" si="40"/>
        <v>7.1999999999999993</v>
      </c>
      <c r="BW16" s="50">
        <f t="shared" si="40"/>
        <v>8.4</v>
      </c>
      <c r="BY16" s="48" t="s">
        <v>901</v>
      </c>
      <c r="BZ16" s="48" t="s">
        <v>922</v>
      </c>
      <c r="CA16" s="50">
        <f t="shared" si="43"/>
        <v>0.8</v>
      </c>
      <c r="CB16" s="50">
        <f t="shared" si="41"/>
        <v>1.6</v>
      </c>
      <c r="CC16" s="50">
        <f t="shared" si="41"/>
        <v>4</v>
      </c>
      <c r="CD16" s="50">
        <f t="shared" si="41"/>
        <v>4.8</v>
      </c>
      <c r="CE16" s="50">
        <f t="shared" si="41"/>
        <v>5.6000000000000005</v>
      </c>
      <c r="CF16" s="50">
        <f t="shared" si="41"/>
        <v>7.1999999999999993</v>
      </c>
      <c r="CG16" s="50">
        <f t="shared" si="41"/>
        <v>8</v>
      </c>
      <c r="CH16" s="50">
        <f t="shared" si="41"/>
        <v>8.8000000000000007</v>
      </c>
      <c r="CI16" s="50">
        <f t="shared" si="41"/>
        <v>9.6</v>
      </c>
      <c r="CJ16" s="50">
        <f t="shared" si="41"/>
        <v>10.4</v>
      </c>
      <c r="CK16" s="50">
        <f t="shared" si="41"/>
        <v>11.200000000000001</v>
      </c>
      <c r="CL16" s="50">
        <f t="shared" si="41"/>
        <v>12</v>
      </c>
      <c r="CM16" s="50">
        <f t="shared" si="41"/>
        <v>12.8</v>
      </c>
      <c r="CN16" s="50">
        <f t="shared" si="41"/>
        <v>13.600000000000001</v>
      </c>
      <c r="CO16" s="50">
        <f t="shared" si="41"/>
        <v>14.399999999999999</v>
      </c>
      <c r="CP16" s="54">
        <f t="shared" si="41"/>
        <v>16.8</v>
      </c>
      <c r="CQ16" s="57"/>
    </row>
    <row r="17" spans="2:95" x14ac:dyDescent="0.3">
      <c r="B17" s="16"/>
      <c r="BF17" s="48" t="s">
        <v>903</v>
      </c>
      <c r="BG17" s="48" t="s">
        <v>925</v>
      </c>
      <c r="BH17" s="50">
        <f t="shared" si="42"/>
        <v>0.4</v>
      </c>
      <c r="BI17" s="50">
        <f t="shared" si="40"/>
        <v>0.8</v>
      </c>
      <c r="BJ17" s="50">
        <f t="shared" si="40"/>
        <v>2.4</v>
      </c>
      <c r="BK17" s="50">
        <f t="shared" si="40"/>
        <v>3.2</v>
      </c>
      <c r="BL17" s="50">
        <f t="shared" si="40"/>
        <v>3.5999999999999996</v>
      </c>
      <c r="BM17" s="50">
        <f t="shared" si="40"/>
        <v>4</v>
      </c>
      <c r="BN17" s="50">
        <f t="shared" si="40"/>
        <v>5.6000000000000005</v>
      </c>
      <c r="BO17" s="50">
        <f t="shared" si="40"/>
        <v>6.8000000000000007</v>
      </c>
      <c r="BP17" s="50">
        <f t="shared" si="40"/>
        <v>8.4</v>
      </c>
      <c r="BQ17" s="50">
        <f t="shared" si="40"/>
        <v>10</v>
      </c>
      <c r="BR17" s="50">
        <f t="shared" si="40"/>
        <v>11.200000000000001</v>
      </c>
      <c r="BS17" s="50">
        <f t="shared" si="40"/>
        <v>12.4</v>
      </c>
      <c r="BT17" s="50">
        <f t="shared" si="40"/>
        <v>13.600000000000001</v>
      </c>
      <c r="BU17" s="50">
        <f t="shared" si="40"/>
        <v>14.8</v>
      </c>
      <c r="BV17" s="50">
        <f t="shared" si="40"/>
        <v>14.8</v>
      </c>
      <c r="BW17" s="50">
        <f t="shared" si="40"/>
        <v>16.399999999999999</v>
      </c>
      <c r="BY17" s="48" t="s">
        <v>903</v>
      </c>
      <c r="BZ17" s="48" t="s">
        <v>922</v>
      </c>
      <c r="CA17" s="50">
        <f t="shared" si="43"/>
        <v>0.8</v>
      </c>
      <c r="CB17" s="50">
        <f t="shared" si="41"/>
        <v>1.6</v>
      </c>
      <c r="CC17" s="50">
        <f t="shared" si="41"/>
        <v>4.8</v>
      </c>
      <c r="CD17" s="50">
        <f t="shared" si="41"/>
        <v>6.4</v>
      </c>
      <c r="CE17" s="50">
        <f t="shared" si="41"/>
        <v>7.1999999999999993</v>
      </c>
      <c r="CF17" s="50">
        <f t="shared" si="41"/>
        <v>8</v>
      </c>
      <c r="CG17" s="50">
        <f t="shared" si="41"/>
        <v>11.200000000000001</v>
      </c>
      <c r="CH17" s="50">
        <f t="shared" si="41"/>
        <v>13.600000000000001</v>
      </c>
      <c r="CI17" s="50">
        <f t="shared" si="41"/>
        <v>16.8</v>
      </c>
      <c r="CJ17" s="50">
        <f t="shared" si="41"/>
        <v>20</v>
      </c>
      <c r="CK17" s="50">
        <f t="shared" si="41"/>
        <v>22.400000000000002</v>
      </c>
      <c r="CL17" s="50">
        <f t="shared" si="41"/>
        <v>24.8</v>
      </c>
      <c r="CM17" s="50">
        <f t="shared" si="41"/>
        <v>27.200000000000003</v>
      </c>
      <c r="CN17" s="50">
        <f t="shared" si="41"/>
        <v>29.6</v>
      </c>
      <c r="CO17" s="50">
        <f t="shared" si="41"/>
        <v>29.6</v>
      </c>
      <c r="CP17" s="54">
        <f t="shared" si="41"/>
        <v>32.799999999999997</v>
      </c>
      <c r="CQ17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activeCell="K22" sqref="K22"/>
    </sheetView>
  </sheetViews>
  <sheetFormatPr defaultRowHeight="14.4" x14ac:dyDescent="0.3"/>
  <cols>
    <col min="1" max="1" width="22.44140625" customWidth="1"/>
    <col min="2" max="2" width="18.6640625" customWidth="1"/>
    <col min="3" max="3" width="14.109375" customWidth="1"/>
    <col min="4" max="5" width="12.88671875" style="39" customWidth="1"/>
    <col min="7" max="7" width="29.88671875" customWidth="1"/>
    <col min="8" max="8" width="18.6640625" customWidth="1"/>
    <col min="9" max="9" width="15.109375" customWidth="1"/>
    <col min="10" max="10" width="12.109375" customWidth="1"/>
    <col min="11" max="11" width="13.88671875" customWidth="1"/>
  </cols>
  <sheetData>
    <row r="1" spans="1:11" ht="45" customHeight="1" x14ac:dyDescent="0.3">
      <c r="A1" s="46"/>
      <c r="B1" s="44" t="s">
        <v>935</v>
      </c>
      <c r="C1" s="44" t="s">
        <v>937</v>
      </c>
      <c r="D1" s="44" t="s">
        <v>938</v>
      </c>
      <c r="E1" s="44" t="s">
        <v>923</v>
      </c>
      <c r="G1" s="48"/>
      <c r="H1" s="44" t="s">
        <v>935</v>
      </c>
      <c r="I1" s="44" t="s">
        <v>936</v>
      </c>
      <c r="J1" s="44" t="s">
        <v>939</v>
      </c>
      <c r="K1" s="44" t="s">
        <v>923</v>
      </c>
    </row>
    <row r="2" spans="1:11" x14ac:dyDescent="0.3">
      <c r="A2" s="48" t="s">
        <v>904</v>
      </c>
      <c r="B2" s="46">
        <v>35</v>
      </c>
      <c r="C2" s="46">
        <v>21</v>
      </c>
      <c r="D2" s="58">
        <f>C2/B2</f>
        <v>0.6</v>
      </c>
      <c r="E2" s="58" t="str">
        <f>VLOOKUP('пример раскрашивания'!D2,'прогрессбар заданий '!CV:CW,2,1)</f>
        <v>красный</v>
      </c>
      <c r="G2" s="48" t="s">
        <v>904</v>
      </c>
      <c r="H2" s="46">
        <v>35</v>
      </c>
      <c r="I2" s="46">
        <f>B2-C2</f>
        <v>14</v>
      </c>
      <c r="J2" s="58">
        <f>I2/H2</f>
        <v>0.4</v>
      </c>
      <c r="K2" s="46" t="str">
        <f>VLOOKUP(J2,'прогрессбар заданий '!CS:CT,2,1)</f>
        <v>красный</v>
      </c>
    </row>
    <row r="3" spans="1:11" x14ac:dyDescent="0.3">
      <c r="A3" s="48" t="s">
        <v>902</v>
      </c>
      <c r="B3" s="46">
        <v>61</v>
      </c>
      <c r="C3" s="46">
        <v>24</v>
      </c>
      <c r="D3" s="58">
        <f t="shared" ref="D3:D6" si="0">C3/B3</f>
        <v>0.39344262295081966</v>
      </c>
      <c r="E3" s="58" t="str">
        <f>VLOOKUP('пример раскрашивания'!D3,'прогрессбар заданий '!CV:CW,2,1)</f>
        <v>красный</v>
      </c>
      <c r="G3" s="48" t="s">
        <v>902</v>
      </c>
      <c r="H3" s="46">
        <v>61</v>
      </c>
      <c r="I3" s="46">
        <f>B3-C3</f>
        <v>37</v>
      </c>
      <c r="J3" s="58">
        <f t="shared" ref="J3:J6" si="1">I3/H3</f>
        <v>0.60655737704918034</v>
      </c>
      <c r="K3" s="46" t="str">
        <f>VLOOKUP(J3,'прогрессбар заданий '!CS:CT,2,1)</f>
        <v>красный</v>
      </c>
    </row>
    <row r="4" spans="1:11" x14ac:dyDescent="0.3">
      <c r="A4" s="48" t="s">
        <v>900</v>
      </c>
      <c r="B4" s="46">
        <v>61</v>
      </c>
      <c r="C4" s="46">
        <v>30</v>
      </c>
      <c r="D4" s="58">
        <f t="shared" si="0"/>
        <v>0.49180327868852458</v>
      </c>
      <c r="E4" s="58" t="str">
        <f>VLOOKUP('пример раскрашивания'!D4,'прогрессбар заданий '!CV:CW,2,1)</f>
        <v>красный</v>
      </c>
      <c r="G4" s="48" t="s">
        <v>900</v>
      </c>
      <c r="H4" s="46">
        <v>61</v>
      </c>
      <c r="I4" s="46">
        <f t="shared" ref="I4:I6" si="2">B4-C4</f>
        <v>31</v>
      </c>
      <c r="J4" s="58">
        <f t="shared" si="1"/>
        <v>0.50819672131147542</v>
      </c>
      <c r="K4" s="46" t="str">
        <f>VLOOKUP(J4,'прогрессбар заданий '!CS:CT,2,1)</f>
        <v>красный</v>
      </c>
    </row>
    <row r="5" spans="1:11" x14ac:dyDescent="0.3">
      <c r="A5" s="48" t="s">
        <v>901</v>
      </c>
      <c r="B5" s="46">
        <v>21</v>
      </c>
      <c r="C5" s="46">
        <v>18</v>
      </c>
      <c r="D5" s="58">
        <f t="shared" si="0"/>
        <v>0.8571428571428571</v>
      </c>
      <c r="E5" s="58" t="str">
        <f>VLOOKUP('пример раскрашивания'!D5,'прогрессбар заданий '!CV:CW,2,1)</f>
        <v>зеленый</v>
      </c>
      <c r="G5" s="48" t="s">
        <v>901</v>
      </c>
      <c r="H5" s="46">
        <v>21</v>
      </c>
      <c r="I5" s="46">
        <f t="shared" si="2"/>
        <v>3</v>
      </c>
      <c r="J5" s="58">
        <f t="shared" si="1"/>
        <v>0.14285714285714285</v>
      </c>
      <c r="K5" s="46" t="str">
        <f>VLOOKUP(J5,'прогрессбар заданий '!CS:CT,2,1)</f>
        <v>зеленый</v>
      </c>
    </row>
    <row r="6" spans="1:11" x14ac:dyDescent="0.3">
      <c r="A6" s="48" t="s">
        <v>903</v>
      </c>
      <c r="B6" s="46">
        <v>41</v>
      </c>
      <c r="C6" s="46">
        <v>40</v>
      </c>
      <c r="D6" s="58">
        <f t="shared" si="0"/>
        <v>0.97560975609756095</v>
      </c>
      <c r="E6" s="58" t="str">
        <f>VLOOKUP('пример раскрашивания'!D6,'прогрессбар заданий '!CV:CW,2,1)</f>
        <v>зеленый</v>
      </c>
      <c r="G6" s="48" t="s">
        <v>903</v>
      </c>
      <c r="H6" s="46">
        <v>41</v>
      </c>
      <c r="I6" s="46">
        <f t="shared" si="2"/>
        <v>1</v>
      </c>
      <c r="J6" s="58">
        <f t="shared" si="1"/>
        <v>2.4390243902439025E-2</v>
      </c>
      <c r="K6" s="46" t="str">
        <f>VLOOKUP(J6,'прогрессбар заданий '!CS:CT,2,1)</f>
        <v>зеленый</v>
      </c>
    </row>
  </sheetData>
  <conditionalFormatting sqref="E10">
    <cfRule type="colorScale" priority="9">
      <colorScale>
        <cfvo type="min"/>
        <cfvo type="max"/>
        <color rgb="FFFF7128"/>
        <color rgb="FFFFEF9C"/>
      </colorScale>
    </cfRule>
  </conditionalFormatting>
  <conditionalFormatting sqref="K2">
    <cfRule type="colorScale" priority="7">
      <colorScale>
        <cfvo type="percent" val="20"/>
        <cfvo type="max"/>
        <color rgb="FFFF7128"/>
        <color rgb="FFFFEF9C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ntainsText" dxfId="0" priority="6" operator="containsText" text="красный">
      <formula>NOT(ISERROR(SEARCH("красный",J2)))</formula>
    </cfRule>
  </conditionalFormatting>
  <conditionalFormatting sqref="D1:D1048576">
    <cfRule type="colorScale" priority="4">
      <colorScale>
        <cfvo type="percentile" val="59"/>
        <cfvo type="percentile" val="60"/>
        <cfvo type="percentile" val="80"/>
        <color rgb="FFF8696B"/>
        <color rgb="FFFFEB84"/>
        <color rgb="FF63BE7B"/>
      </colorScale>
    </cfRule>
    <cfRule type="colorScale" priority="5">
      <colorScale>
        <cfvo type="formula" val="60"/>
        <cfvo type="max"/>
        <color rgb="FFFF7128"/>
        <color rgb="FFFFEF9C"/>
      </colorScale>
    </cfRule>
  </conditionalFormatting>
  <conditionalFormatting sqref="J1:J1048576">
    <cfRule type="colorScale" priority="1">
      <colorScale>
        <cfvo type="percentile" val="20"/>
        <cfvo type="percentile" val="40"/>
        <cfvo type="percentile" val="41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tabSelected="1" topLeftCell="A12" workbookViewId="0">
      <selection activeCell="E18" sqref="E18:E23"/>
    </sheetView>
  </sheetViews>
  <sheetFormatPr defaultRowHeight="14.4" x14ac:dyDescent="0.3"/>
  <cols>
    <col min="2" max="2" width="54.88671875" customWidth="1"/>
  </cols>
  <sheetData>
    <row r="1" spans="1:7" x14ac:dyDescent="0.3">
      <c r="A1" s="16" t="s">
        <v>7</v>
      </c>
    </row>
    <row r="3" spans="1:7" x14ac:dyDescent="0.3">
      <c r="A3" s="16" t="s">
        <v>979</v>
      </c>
    </row>
    <row r="5" spans="1:7" ht="72" x14ac:dyDescent="0.3">
      <c r="A5" s="44" t="s">
        <v>978</v>
      </c>
      <c r="B5" s="44" t="s">
        <v>942</v>
      </c>
    </row>
    <row r="6" spans="1:7" x14ac:dyDescent="0.3">
      <c r="A6" s="59">
        <v>0</v>
      </c>
      <c r="B6" s="48" t="s">
        <v>922</v>
      </c>
    </row>
    <row r="7" spans="1:7" x14ac:dyDescent="0.3">
      <c r="A7" s="60">
        <v>0.2</v>
      </c>
      <c r="B7" s="48" t="s">
        <v>921</v>
      </c>
    </row>
    <row r="8" spans="1:7" x14ac:dyDescent="0.3">
      <c r="A8" s="59">
        <v>0.4</v>
      </c>
      <c r="B8" s="48" t="s">
        <v>925</v>
      </c>
    </row>
    <row r="13" spans="1:7" ht="15" thickBot="1" x14ac:dyDescent="0.35"/>
    <row r="14" spans="1:7" ht="18.600000000000001" thickBot="1" x14ac:dyDescent="0.4">
      <c r="A14" s="76" t="s">
        <v>842</v>
      </c>
      <c r="B14" s="79" t="s">
        <v>843</v>
      </c>
      <c r="C14" s="76" t="s">
        <v>844</v>
      </c>
      <c r="D14" s="80" t="s">
        <v>845</v>
      </c>
      <c r="E14" s="81"/>
      <c r="F14" s="81"/>
      <c r="G14" s="82"/>
    </row>
    <row r="15" spans="1:7" x14ac:dyDescent="0.3">
      <c r="A15" s="77"/>
      <c r="B15" s="65"/>
      <c r="C15" s="77"/>
      <c r="D15" s="83" t="s">
        <v>846</v>
      </c>
      <c r="E15" s="84"/>
      <c r="F15" s="87" t="s">
        <v>847</v>
      </c>
      <c r="G15" s="84"/>
    </row>
    <row r="16" spans="1:7" ht="15" thickBot="1" x14ac:dyDescent="0.35">
      <c r="A16" s="77"/>
      <c r="B16" s="65"/>
      <c r="C16" s="77"/>
      <c r="D16" s="85"/>
      <c r="E16" s="86"/>
      <c r="F16" s="88"/>
      <c r="G16" s="86"/>
    </row>
    <row r="17" spans="1:10" ht="18.600000000000001" thickBot="1" x14ac:dyDescent="0.4">
      <c r="A17" s="78"/>
      <c r="B17" s="66"/>
      <c r="C17" s="78"/>
      <c r="D17" s="18" t="s">
        <v>848</v>
      </c>
      <c r="E17" s="19" t="s">
        <v>849</v>
      </c>
      <c r="F17" s="19" t="s">
        <v>848</v>
      </c>
      <c r="G17" s="19" t="s">
        <v>849</v>
      </c>
      <c r="H17" s="53" t="s">
        <v>980</v>
      </c>
      <c r="I17" s="53" t="s">
        <v>981</v>
      </c>
      <c r="J17" s="53" t="s">
        <v>982</v>
      </c>
    </row>
    <row r="18" spans="1:10" ht="34.200000000000003" thickBot="1" x14ac:dyDescent="0.7">
      <c r="A18" s="24">
        <v>1</v>
      </c>
      <c r="B18" s="24" t="s">
        <v>898</v>
      </c>
      <c r="C18" s="92" t="s">
        <v>983</v>
      </c>
      <c r="D18" s="92" t="s">
        <v>984</v>
      </c>
      <c r="E18" s="92" t="s">
        <v>984</v>
      </c>
      <c r="F18" s="24">
        <v>2</v>
      </c>
      <c r="G18" s="24" t="s">
        <v>985</v>
      </c>
      <c r="H18" s="24">
        <v>2</v>
      </c>
      <c r="I18" s="24" t="s">
        <v>986</v>
      </c>
      <c r="J18" s="24" t="s">
        <v>925</v>
      </c>
    </row>
    <row r="19" spans="1:10" ht="34.200000000000003" thickBot="1" x14ac:dyDescent="0.7">
      <c r="A19" s="24" t="s">
        <v>865</v>
      </c>
      <c r="B19" s="24" t="s">
        <v>987</v>
      </c>
      <c r="C19" s="65"/>
      <c r="D19" s="71"/>
      <c r="E19" s="71"/>
      <c r="F19" s="24">
        <v>2</v>
      </c>
      <c r="G19" s="24" t="s">
        <v>985</v>
      </c>
      <c r="H19" s="24">
        <v>2</v>
      </c>
      <c r="I19" s="24" t="s">
        <v>986</v>
      </c>
      <c r="J19" s="24" t="s">
        <v>925</v>
      </c>
    </row>
    <row r="20" spans="1:10" ht="34.200000000000003" thickBot="1" x14ac:dyDescent="0.7">
      <c r="A20" s="24" t="s">
        <v>988</v>
      </c>
      <c r="B20" s="24" t="s">
        <v>989</v>
      </c>
      <c r="C20" s="65"/>
      <c r="D20" s="71"/>
      <c r="E20" s="71"/>
      <c r="F20" s="24">
        <v>2</v>
      </c>
      <c r="G20" s="24" t="s">
        <v>985</v>
      </c>
      <c r="H20" s="24">
        <v>2</v>
      </c>
      <c r="I20" s="24" t="s">
        <v>986</v>
      </c>
      <c r="J20" s="24" t="s">
        <v>925</v>
      </c>
    </row>
    <row r="21" spans="1:10" ht="34.200000000000003" thickBot="1" x14ac:dyDescent="0.7">
      <c r="A21" s="22"/>
      <c r="B21" s="22"/>
      <c r="C21" s="65"/>
      <c r="D21" s="71"/>
      <c r="E21" s="71"/>
      <c r="F21" s="22"/>
      <c r="G21" s="22"/>
      <c r="H21" s="22"/>
      <c r="I21" s="22"/>
      <c r="J21" s="22"/>
    </row>
    <row r="22" spans="1:10" ht="34.200000000000003" thickBot="1" x14ac:dyDescent="0.7">
      <c r="A22" s="22"/>
      <c r="B22" s="22"/>
      <c r="C22" s="65"/>
      <c r="D22" s="71"/>
      <c r="E22" s="71"/>
      <c r="F22" s="22"/>
      <c r="G22" s="22"/>
      <c r="H22" s="22"/>
      <c r="I22" s="22"/>
      <c r="J22" s="22"/>
    </row>
    <row r="23" spans="1:10" ht="34.200000000000003" thickBot="1" x14ac:dyDescent="0.7">
      <c r="A23" s="22"/>
      <c r="B23" s="22"/>
      <c r="C23" s="66"/>
      <c r="D23" s="72"/>
      <c r="E23" s="72"/>
      <c r="F23" s="22"/>
      <c r="G23" s="22"/>
      <c r="H23" s="22"/>
      <c r="I23" s="22"/>
      <c r="J23" s="22"/>
    </row>
    <row r="24" spans="1:10" ht="34.200000000000003" thickBot="1" x14ac:dyDescent="0.7">
      <c r="A24" s="24"/>
      <c r="B24" s="24"/>
      <c r="C24" s="64"/>
      <c r="D24" s="73"/>
      <c r="E24" s="73"/>
      <c r="F24" s="24"/>
      <c r="G24" s="24"/>
      <c r="H24" s="24"/>
      <c r="I24" s="24"/>
      <c r="J24" s="24"/>
    </row>
    <row r="25" spans="1:10" ht="34.200000000000003" thickBot="1" x14ac:dyDescent="0.7">
      <c r="A25" s="22"/>
      <c r="B25" s="22"/>
      <c r="C25" s="65"/>
      <c r="D25" s="74"/>
      <c r="E25" s="74"/>
      <c r="F25" s="22"/>
      <c r="G25" s="22"/>
      <c r="H25" s="22"/>
      <c r="I25" s="22"/>
      <c r="J25" s="22"/>
    </row>
    <row r="26" spans="1:10" ht="18.600000000000001" thickBot="1" x14ac:dyDescent="0.4">
      <c r="A26" s="63"/>
      <c r="B26" s="32"/>
      <c r="C26" s="65"/>
      <c r="D26" s="74"/>
      <c r="E26" s="74"/>
      <c r="F26" s="30"/>
      <c r="G26" s="30"/>
    </row>
    <row r="27" spans="1:10" ht="18.600000000000001" thickBot="1" x14ac:dyDescent="0.4">
      <c r="A27" s="63"/>
      <c r="B27" s="32"/>
      <c r="C27" s="65"/>
      <c r="D27" s="74"/>
      <c r="E27" s="74"/>
      <c r="F27" s="30"/>
      <c r="G27" s="30"/>
    </row>
    <row r="28" spans="1:10" ht="18.600000000000001" thickBot="1" x14ac:dyDescent="0.4">
      <c r="A28" s="63"/>
      <c r="B28" s="32"/>
      <c r="C28" s="65"/>
      <c r="D28" s="74"/>
      <c r="E28" s="74"/>
      <c r="F28" s="30"/>
      <c r="G28" s="30"/>
    </row>
    <row r="29" spans="1:10" ht="18.600000000000001" thickBot="1" x14ac:dyDescent="0.4">
      <c r="A29" s="63"/>
      <c r="B29" s="29"/>
      <c r="C29" s="66"/>
      <c r="D29" s="75"/>
      <c r="E29" s="75"/>
      <c r="F29" s="31"/>
      <c r="G29" s="31"/>
    </row>
    <row r="30" spans="1:10" ht="34.200000000000003" thickBot="1" x14ac:dyDescent="0.7">
      <c r="A30" s="20"/>
      <c r="B30" s="21"/>
      <c r="C30" s="64"/>
      <c r="D30" s="67"/>
      <c r="E30" s="67"/>
      <c r="F30" s="24"/>
      <c r="G30" s="24"/>
    </row>
    <row r="31" spans="1:10" ht="18.600000000000001" thickBot="1" x14ac:dyDescent="0.4">
      <c r="A31" s="63"/>
      <c r="B31" s="29"/>
      <c r="C31" s="65"/>
      <c r="D31" s="68"/>
      <c r="E31" s="68"/>
      <c r="F31" s="33"/>
      <c r="G31" s="33"/>
    </row>
    <row r="32" spans="1:10" ht="18.600000000000001" thickBot="1" x14ac:dyDescent="0.4">
      <c r="A32" s="63"/>
      <c r="B32" s="32"/>
      <c r="C32" s="65"/>
      <c r="D32" s="68"/>
      <c r="E32" s="68"/>
      <c r="F32" s="33"/>
      <c r="G32" s="33"/>
    </row>
    <row r="33" spans="1:7" ht="18.600000000000001" thickBot="1" x14ac:dyDescent="0.4">
      <c r="A33" s="63"/>
      <c r="B33" s="32"/>
      <c r="C33" s="65"/>
      <c r="D33" s="68"/>
      <c r="E33" s="68"/>
      <c r="F33" s="34"/>
      <c r="G33" s="34"/>
    </row>
    <row r="34" spans="1:7" ht="18.600000000000001" thickBot="1" x14ac:dyDescent="0.4">
      <c r="A34" s="63"/>
      <c r="B34" s="32"/>
      <c r="C34" s="65"/>
      <c r="D34" s="68"/>
      <c r="E34" s="68"/>
      <c r="F34" s="33"/>
      <c r="G34" s="33"/>
    </row>
    <row r="35" spans="1:7" ht="18.600000000000001" thickBot="1" x14ac:dyDescent="0.4">
      <c r="A35" s="63"/>
      <c r="B35" s="29"/>
      <c r="C35" s="66"/>
      <c r="D35" s="69"/>
      <c r="E35" s="69"/>
      <c r="F35" s="33"/>
      <c r="G35" s="33"/>
    </row>
    <row r="36" spans="1:7" ht="34.200000000000003" thickBot="1" x14ac:dyDescent="0.7">
      <c r="A36" s="20"/>
      <c r="B36" s="21"/>
      <c r="C36" s="35"/>
      <c r="D36" s="36"/>
      <c r="E36" s="36"/>
      <c r="F36" s="36"/>
      <c r="G36" s="36"/>
    </row>
  </sheetData>
  <mergeCells count="15">
    <mergeCell ref="C30:C35"/>
    <mergeCell ref="D30:D35"/>
    <mergeCell ref="E30:E35"/>
    <mergeCell ref="C18:C23"/>
    <mergeCell ref="D18:D23"/>
    <mergeCell ref="E18:E23"/>
    <mergeCell ref="C24:C29"/>
    <mergeCell ref="D24:D29"/>
    <mergeCell ref="E24:E29"/>
    <mergeCell ref="A14:A17"/>
    <mergeCell ref="B14:B17"/>
    <mergeCell ref="C14:C17"/>
    <mergeCell ref="D14:G14"/>
    <mergeCell ref="D15:E16"/>
    <mergeCell ref="F15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отчет</vt:lpstr>
      <vt:lpstr>Worksheet</vt:lpstr>
      <vt:lpstr>впр данные</vt:lpstr>
      <vt:lpstr>прогрессбар заданий </vt:lpstr>
      <vt:lpstr>пример раскрашивания</vt:lpstr>
      <vt:lpstr>задание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ПК</cp:lastModifiedBy>
  <dcterms:created xsi:type="dcterms:W3CDTF">2026-04-30T12:44:02Z</dcterms:created>
  <dcterms:modified xsi:type="dcterms:W3CDTF">2026-05-13T09:50:56Z</dcterms:modified>
</cp:coreProperties>
</file>